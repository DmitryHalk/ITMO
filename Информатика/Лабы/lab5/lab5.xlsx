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er\Desktop\"/>
    </mc:Choice>
  </mc:AlternateContent>
  <xr:revisionPtr revIDLastSave="0" documentId="13_ncr:1_{D6CCD6F0-E0CA-4022-9F8A-A3A7FCA28327}" xr6:coauthVersionLast="47" xr6:coauthVersionMax="47" xr10:uidLastSave="{00000000-0000-0000-0000-000000000000}"/>
  <bookViews>
    <workbookView xWindow="-108" yWindow="-108" windowWidth="23256" windowHeight="13896" xr2:uid="{EE3EFD77-59C9-41AA-918C-B2F9C2A8E16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9" i="1" l="1"/>
  <c r="AE67" i="1"/>
  <c r="AE66" i="1"/>
  <c r="AE61" i="1"/>
  <c r="AE59" i="1"/>
  <c r="AE58" i="1"/>
  <c r="AB69" i="1"/>
  <c r="AB61" i="1"/>
  <c r="AB53" i="1"/>
  <c r="AB45" i="1"/>
  <c r="AB37" i="1"/>
  <c r="AB29" i="1"/>
  <c r="AB21" i="1"/>
  <c r="AE51" i="1"/>
  <c r="AE50" i="1"/>
  <c r="AE53" i="1"/>
  <c r="F23" i="1"/>
  <c r="F31" i="1"/>
  <c r="F39" i="1"/>
  <c r="F47" i="1"/>
  <c r="F55" i="1"/>
  <c r="F63" i="1"/>
  <c r="F71" i="1"/>
  <c r="AE45" i="1"/>
  <c r="AE43" i="1"/>
  <c r="AE42" i="1"/>
  <c r="AE35" i="1"/>
  <c r="AE37" i="1" s="1"/>
  <c r="AE34" i="1"/>
  <c r="AE29" i="1"/>
  <c r="AE27" i="1"/>
  <c r="AE26" i="1"/>
  <c r="AE21" i="1"/>
  <c r="AE19" i="1"/>
  <c r="AE18" i="1"/>
  <c r="U71" i="1"/>
  <c r="U63" i="1"/>
  <c r="U55" i="1"/>
  <c r="U47" i="1"/>
  <c r="U39" i="1"/>
  <c r="U31" i="1"/>
  <c r="U23" i="1"/>
  <c r="Y65" i="1"/>
  <c r="Y57" i="1"/>
  <c r="Y49" i="1"/>
  <c r="Y41" i="1"/>
  <c r="Y33" i="1" l="1"/>
  <c r="Y25" i="1"/>
  <c r="Y17" i="1"/>
  <c r="U15" i="1" l="1"/>
  <c r="P15" i="1"/>
  <c r="K15" i="1"/>
  <c r="U14" i="1"/>
  <c r="U66" i="1" s="1"/>
  <c r="U69" i="1" s="1"/>
  <c r="P14" i="1"/>
  <c r="P66" i="1" s="1"/>
  <c r="P69" i="1" s="1"/>
  <c r="K14" i="1"/>
  <c r="K66" i="1" s="1"/>
  <c r="K69" i="1" s="1"/>
  <c r="U13" i="1"/>
  <c r="P13" i="1"/>
  <c r="K13" i="1"/>
  <c r="U12" i="1"/>
  <c r="U51" i="1" s="1"/>
  <c r="P12" i="1"/>
  <c r="P51" i="1" s="1"/>
  <c r="K12" i="1"/>
  <c r="K51" i="1" s="1"/>
  <c r="U11" i="1"/>
  <c r="P11" i="1"/>
  <c r="K11" i="1"/>
  <c r="U10" i="1"/>
  <c r="P10" i="1"/>
  <c r="K10" i="1"/>
  <c r="U9" i="1"/>
  <c r="P9" i="1"/>
  <c r="K9" i="1"/>
  <c r="U8" i="1"/>
  <c r="P8" i="1"/>
  <c r="K8" i="1"/>
  <c r="U7" i="1"/>
  <c r="P7" i="1"/>
  <c r="K7" i="1"/>
  <c r="U6" i="1"/>
  <c r="P6" i="1"/>
  <c r="K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K27" i="1" l="1"/>
  <c r="K29" i="1" s="1"/>
  <c r="K67" i="1"/>
  <c r="N18" i="1"/>
  <c r="N58" i="1"/>
  <c r="O18" i="1"/>
  <c r="O58" i="1"/>
  <c r="Q18" i="1"/>
  <c r="Q58" i="1"/>
  <c r="G18" i="1"/>
  <c r="G58" i="1"/>
  <c r="X18" i="1"/>
  <c r="X58" i="1"/>
  <c r="P18" i="1"/>
  <c r="P58" i="1"/>
  <c r="P61" i="1" s="1"/>
  <c r="R18" i="1"/>
  <c r="R58" i="1"/>
  <c r="S18" i="1"/>
  <c r="S58" i="1"/>
  <c r="H18" i="1"/>
  <c r="H58" i="1"/>
  <c r="T18" i="1"/>
  <c r="T58" i="1"/>
  <c r="I18" i="1"/>
  <c r="I58" i="1"/>
  <c r="U18" i="1"/>
  <c r="U58" i="1"/>
  <c r="U61" i="1" s="1"/>
  <c r="J18" i="1"/>
  <c r="J58" i="1"/>
  <c r="V18" i="1"/>
  <c r="V58" i="1"/>
  <c r="P27" i="1"/>
  <c r="P29" i="1" s="1"/>
  <c r="P67" i="1"/>
  <c r="K18" i="1"/>
  <c r="K58" i="1"/>
  <c r="K61" i="1" s="1"/>
  <c r="W18" i="1"/>
  <c r="W58" i="1"/>
  <c r="U27" i="1"/>
  <c r="U29" i="1" s="1"/>
  <c r="U67" i="1"/>
  <c r="L18" i="1"/>
  <c r="L58" i="1"/>
  <c r="K43" i="1"/>
  <c r="K50" i="1"/>
  <c r="K53" i="1" s="1"/>
  <c r="K59" i="1"/>
  <c r="M18" i="1"/>
  <c r="M58" i="1"/>
  <c r="Y18" i="1"/>
  <c r="X17" i="1" s="1"/>
  <c r="Y58" i="1"/>
  <c r="P43" i="1"/>
  <c r="P50" i="1"/>
  <c r="P53" i="1" s="1"/>
  <c r="P59" i="1"/>
  <c r="U43" i="1"/>
  <c r="U59" i="1"/>
  <c r="U50" i="1"/>
  <c r="U53" i="1" s="1"/>
  <c r="N19" i="1"/>
  <c r="N26" i="1"/>
  <c r="N34" i="1"/>
  <c r="P42" i="1"/>
  <c r="P45" i="1" s="1"/>
  <c r="P35" i="1"/>
  <c r="P37" i="1" s="1"/>
  <c r="S19" i="1"/>
  <c r="S34" i="1"/>
  <c r="S26" i="1"/>
  <c r="R19" i="1"/>
  <c r="R34" i="1"/>
  <c r="R26" i="1"/>
  <c r="G19" i="1"/>
  <c r="G34" i="1"/>
  <c r="G26" i="1"/>
  <c r="H19" i="1"/>
  <c r="H26" i="1"/>
  <c r="H34" i="1"/>
  <c r="T19" i="1"/>
  <c r="T26" i="1"/>
  <c r="T34" i="1"/>
  <c r="O19" i="1"/>
  <c r="O34" i="1"/>
  <c r="O26" i="1"/>
  <c r="P19" i="1"/>
  <c r="P21" i="1" s="1"/>
  <c r="P34" i="1"/>
  <c r="P26" i="1"/>
  <c r="U42" i="1"/>
  <c r="U45" i="1" s="1"/>
  <c r="U35" i="1"/>
  <c r="U37" i="1" s="1"/>
  <c r="I19" i="1"/>
  <c r="I26" i="1"/>
  <c r="I34" i="1"/>
  <c r="J19" i="1"/>
  <c r="J26" i="1"/>
  <c r="J34" i="1"/>
  <c r="K19" i="1"/>
  <c r="K21" i="1" s="1"/>
  <c r="K26" i="1"/>
  <c r="K34" i="1"/>
  <c r="W19" i="1"/>
  <c r="W34" i="1"/>
  <c r="W26" i="1"/>
  <c r="L19" i="1"/>
  <c r="L26" i="1"/>
  <c r="L34" i="1"/>
  <c r="X19" i="1"/>
  <c r="X26" i="1"/>
  <c r="X34" i="1"/>
  <c r="K42" i="1"/>
  <c r="K45" i="1" s="1"/>
  <c r="K35" i="1"/>
  <c r="K37" i="1" s="1"/>
  <c r="Q19" i="1"/>
  <c r="Q34" i="1"/>
  <c r="Q26" i="1"/>
  <c r="U19" i="1"/>
  <c r="U21" i="1" s="1"/>
  <c r="U26" i="1"/>
  <c r="U34" i="1"/>
  <c r="V19" i="1"/>
  <c r="V26" i="1"/>
  <c r="V34" i="1"/>
  <c r="M19" i="1"/>
  <c r="M26" i="1"/>
  <c r="M34" i="1"/>
  <c r="Y19" i="1"/>
  <c r="Y26" i="1"/>
  <c r="Y34" i="1"/>
  <c r="C11" i="1"/>
  <c r="C10" i="1"/>
  <c r="C8" i="1"/>
  <c r="C7" i="1"/>
  <c r="C6" i="1"/>
  <c r="W17" i="1" l="1"/>
  <c r="V17" i="1" s="1"/>
  <c r="Y61" i="1"/>
  <c r="Y21" i="1"/>
  <c r="X10" i="1"/>
  <c r="L10" i="1"/>
  <c r="Q10" i="1"/>
  <c r="O10" i="1"/>
  <c r="W10" i="1"/>
  <c r="N10" i="1"/>
  <c r="M10" i="1"/>
  <c r="V10" i="1"/>
  <c r="J10" i="1"/>
  <c r="G10" i="1"/>
  <c r="I10" i="1"/>
  <c r="S10" i="1"/>
  <c r="Y10" i="1"/>
  <c r="T10" i="1"/>
  <c r="H10" i="1"/>
  <c r="R10" i="1"/>
  <c r="X21" i="1"/>
  <c r="Q11" i="1"/>
  <c r="V11" i="1"/>
  <c r="J11" i="1"/>
  <c r="T11" i="1"/>
  <c r="G11" i="1"/>
  <c r="R11" i="1"/>
  <c r="O11" i="1"/>
  <c r="L11" i="1"/>
  <c r="I11" i="1"/>
  <c r="N11" i="1"/>
  <c r="X11" i="1"/>
  <c r="S11" i="1"/>
  <c r="Y11" i="1"/>
  <c r="M11" i="1"/>
  <c r="W11" i="1"/>
  <c r="H11" i="1"/>
  <c r="C12" i="1"/>
  <c r="O6" i="1"/>
  <c r="J6" i="1"/>
  <c r="H6" i="1"/>
  <c r="N6" i="1"/>
  <c r="L6" i="1"/>
  <c r="I6" i="1"/>
  <c r="Y6" i="1"/>
  <c r="M6" i="1"/>
  <c r="X6" i="1"/>
  <c r="S6" i="1"/>
  <c r="R6" i="1"/>
  <c r="Q6" i="1"/>
  <c r="W6" i="1"/>
  <c r="V6" i="1"/>
  <c r="T6" i="1"/>
  <c r="G6" i="1"/>
  <c r="C13" i="1"/>
  <c r="I7" i="1"/>
  <c r="O7" i="1"/>
  <c r="N7" i="1"/>
  <c r="L7" i="1"/>
  <c r="V7" i="1"/>
  <c r="T7" i="1"/>
  <c r="H7" i="1"/>
  <c r="J7" i="1"/>
  <c r="S7" i="1"/>
  <c r="G7" i="1"/>
  <c r="M7" i="1"/>
  <c r="R7" i="1"/>
  <c r="Y7" i="1"/>
  <c r="Q7" i="1"/>
  <c r="X7" i="1"/>
  <c r="W7" i="1"/>
  <c r="C14" i="1"/>
  <c r="N8" i="1"/>
  <c r="S8" i="1"/>
  <c r="Y8" i="1"/>
  <c r="M8" i="1"/>
  <c r="G8" i="1"/>
  <c r="Q8" i="1"/>
  <c r="O8" i="1"/>
  <c r="X8" i="1"/>
  <c r="L8" i="1"/>
  <c r="H8" i="1"/>
  <c r="W8" i="1"/>
  <c r="V8" i="1"/>
  <c r="J8" i="1"/>
  <c r="I8" i="1"/>
  <c r="T8" i="1"/>
  <c r="R8" i="1"/>
  <c r="C9" i="1"/>
  <c r="W21" i="1" l="1"/>
  <c r="G27" i="1"/>
  <c r="G67" i="1"/>
  <c r="I43" i="1"/>
  <c r="I59" i="1"/>
  <c r="I50" i="1"/>
  <c r="H27" i="1"/>
  <c r="H67" i="1"/>
  <c r="J27" i="1"/>
  <c r="J67" i="1"/>
  <c r="W27" i="1"/>
  <c r="W67" i="1"/>
  <c r="R43" i="1"/>
  <c r="R59" i="1"/>
  <c r="R50" i="1"/>
  <c r="Q27" i="1"/>
  <c r="Q67" i="1"/>
  <c r="H43" i="1"/>
  <c r="H59" i="1"/>
  <c r="H50" i="1"/>
  <c r="W43" i="1"/>
  <c r="W50" i="1"/>
  <c r="W59" i="1"/>
  <c r="X27" i="1"/>
  <c r="X67" i="1"/>
  <c r="V43" i="1"/>
  <c r="V59" i="1"/>
  <c r="V50" i="1"/>
  <c r="M27" i="1"/>
  <c r="M67" i="1"/>
  <c r="Q43" i="1"/>
  <c r="Q50" i="1"/>
  <c r="Q59" i="1"/>
  <c r="S43" i="1"/>
  <c r="S59" i="1"/>
  <c r="S50" i="1"/>
  <c r="N27" i="1"/>
  <c r="N67" i="1"/>
  <c r="T27" i="1"/>
  <c r="T67" i="1"/>
  <c r="L43" i="1"/>
  <c r="L50" i="1"/>
  <c r="L59" i="1"/>
  <c r="V27" i="1"/>
  <c r="V67" i="1"/>
  <c r="O43" i="1"/>
  <c r="O50" i="1"/>
  <c r="O59" i="1"/>
  <c r="O27" i="1"/>
  <c r="O67" i="1"/>
  <c r="G43" i="1"/>
  <c r="G50" i="1"/>
  <c r="G59" i="1"/>
  <c r="R27" i="1"/>
  <c r="R67" i="1"/>
  <c r="T43" i="1"/>
  <c r="T59" i="1"/>
  <c r="T50" i="1"/>
  <c r="S27" i="1"/>
  <c r="S67" i="1"/>
  <c r="J43" i="1"/>
  <c r="J59" i="1"/>
  <c r="J50" i="1"/>
  <c r="M43" i="1"/>
  <c r="M50" i="1"/>
  <c r="M59" i="1"/>
  <c r="Y43" i="1"/>
  <c r="Y50" i="1"/>
  <c r="Y59" i="1"/>
  <c r="X57" i="1" s="1"/>
  <c r="Y27" i="1"/>
  <c r="Y29" i="1" s="1"/>
  <c r="Y67" i="1"/>
  <c r="I27" i="1"/>
  <c r="I67" i="1"/>
  <c r="X43" i="1"/>
  <c r="X50" i="1"/>
  <c r="X59" i="1"/>
  <c r="L27" i="1"/>
  <c r="L67" i="1"/>
  <c r="N43" i="1"/>
  <c r="N50" i="1"/>
  <c r="N59" i="1"/>
  <c r="J42" i="1"/>
  <c r="J35" i="1"/>
  <c r="V42" i="1"/>
  <c r="V35" i="1"/>
  <c r="Y42" i="1"/>
  <c r="Y35" i="1"/>
  <c r="I42" i="1"/>
  <c r="I35" i="1"/>
  <c r="N42" i="1"/>
  <c r="N35" i="1"/>
  <c r="S42" i="1"/>
  <c r="S35" i="1"/>
  <c r="W42" i="1"/>
  <c r="W35" i="1"/>
  <c r="M42" i="1"/>
  <c r="M35" i="1"/>
  <c r="R42" i="1"/>
  <c r="R35" i="1"/>
  <c r="O42" i="1"/>
  <c r="O35" i="1"/>
  <c r="X42" i="1"/>
  <c r="X35" i="1"/>
  <c r="H42" i="1"/>
  <c r="H35" i="1"/>
  <c r="Q42" i="1"/>
  <c r="Q35" i="1"/>
  <c r="G42" i="1"/>
  <c r="G35" i="1"/>
  <c r="T42" i="1"/>
  <c r="T35" i="1"/>
  <c r="L42" i="1"/>
  <c r="L35" i="1"/>
  <c r="I14" i="1"/>
  <c r="I66" i="1" s="1"/>
  <c r="S14" i="1"/>
  <c r="S66" i="1" s="1"/>
  <c r="V14" i="1"/>
  <c r="V66" i="1" s="1"/>
  <c r="H14" i="1"/>
  <c r="H66" i="1" s="1"/>
  <c r="L14" i="1"/>
  <c r="L66" i="1" s="1"/>
  <c r="G14" i="1"/>
  <c r="G66" i="1" s="1"/>
  <c r="O14" i="1"/>
  <c r="O66" i="1" s="1"/>
  <c r="N14" i="1"/>
  <c r="N66" i="1" s="1"/>
  <c r="Y14" i="1"/>
  <c r="Y66" i="1" s="1"/>
  <c r="T14" i="1"/>
  <c r="T66" i="1" s="1"/>
  <c r="R14" i="1"/>
  <c r="R66" i="1" s="1"/>
  <c r="X14" i="1"/>
  <c r="X66" i="1" s="1"/>
  <c r="W14" i="1"/>
  <c r="W66" i="1" s="1"/>
  <c r="J14" i="1"/>
  <c r="J66" i="1" s="1"/>
  <c r="Q14" i="1"/>
  <c r="Q66" i="1" s="1"/>
  <c r="M14" i="1"/>
  <c r="M66" i="1" s="1"/>
  <c r="V12" i="1"/>
  <c r="V51" i="1" s="1"/>
  <c r="J12" i="1"/>
  <c r="J51" i="1" s="1"/>
  <c r="M12" i="1"/>
  <c r="M51" i="1" s="1"/>
  <c r="X12" i="1"/>
  <c r="X51" i="1" s="1"/>
  <c r="I12" i="1"/>
  <c r="I51" i="1" s="1"/>
  <c r="O12" i="1"/>
  <c r="O51" i="1" s="1"/>
  <c r="T12" i="1"/>
  <c r="T51" i="1" s="1"/>
  <c r="H12" i="1"/>
  <c r="H51" i="1" s="1"/>
  <c r="Q12" i="1"/>
  <c r="Q51" i="1" s="1"/>
  <c r="Y12" i="1"/>
  <c r="Y51" i="1" s="1"/>
  <c r="S12" i="1"/>
  <c r="S51" i="1" s="1"/>
  <c r="G12" i="1"/>
  <c r="G51" i="1" s="1"/>
  <c r="W12" i="1"/>
  <c r="W51" i="1" s="1"/>
  <c r="R12" i="1"/>
  <c r="R51" i="1" s="1"/>
  <c r="N12" i="1"/>
  <c r="N51" i="1" s="1"/>
  <c r="L12" i="1"/>
  <c r="L51" i="1" s="1"/>
  <c r="C15" i="1"/>
  <c r="S9" i="1"/>
  <c r="G9" i="1"/>
  <c r="M9" i="1"/>
  <c r="J9" i="1"/>
  <c r="T9" i="1"/>
  <c r="R9" i="1"/>
  <c r="Y9" i="1"/>
  <c r="X9" i="1"/>
  <c r="Q9" i="1"/>
  <c r="L9" i="1"/>
  <c r="N9" i="1"/>
  <c r="I9" i="1"/>
  <c r="H9" i="1"/>
  <c r="O9" i="1"/>
  <c r="W9" i="1"/>
  <c r="V9" i="1"/>
  <c r="O13" i="1"/>
  <c r="I13" i="1"/>
  <c r="S13" i="1"/>
  <c r="G13" i="1"/>
  <c r="N13" i="1"/>
  <c r="T13" i="1"/>
  <c r="Q13" i="1"/>
  <c r="Y13" i="1"/>
  <c r="M13" i="1"/>
  <c r="V13" i="1"/>
  <c r="H13" i="1"/>
  <c r="X13" i="1"/>
  <c r="L13" i="1"/>
  <c r="J13" i="1"/>
  <c r="W13" i="1"/>
  <c r="R13" i="1"/>
  <c r="U17" i="1"/>
  <c r="V21" i="1"/>
  <c r="T17" i="1" l="1"/>
  <c r="L23" i="1"/>
  <c r="W57" i="1"/>
  <c r="X61" i="1"/>
  <c r="X49" i="1"/>
  <c r="W49" i="1" s="1"/>
  <c r="Y53" i="1"/>
  <c r="X25" i="1"/>
  <c r="W25" i="1" s="1"/>
  <c r="V25" i="1" s="1"/>
  <c r="U25" i="1" s="1"/>
  <c r="X65" i="1"/>
  <c r="W65" i="1" s="1"/>
  <c r="V65" i="1" s="1"/>
  <c r="U65" i="1" s="1"/>
  <c r="Y69" i="1"/>
  <c r="Y37" i="1"/>
  <c r="X33" i="1"/>
  <c r="W33" i="1" s="1"/>
  <c r="V33" i="1" s="1"/>
  <c r="U33" i="1" s="1"/>
  <c r="Y45" i="1"/>
  <c r="X41" i="1"/>
  <c r="W41" i="1" s="1"/>
  <c r="T21" i="1"/>
  <c r="S17" i="1"/>
  <c r="O15" i="1"/>
  <c r="H15" i="1"/>
  <c r="S15" i="1"/>
  <c r="Q15" i="1"/>
  <c r="N15" i="1"/>
  <c r="T15" i="1"/>
  <c r="Y15" i="1"/>
  <c r="M15" i="1"/>
  <c r="V15" i="1"/>
  <c r="G15" i="1"/>
  <c r="R15" i="1"/>
  <c r="X15" i="1"/>
  <c r="L15" i="1"/>
  <c r="J15" i="1"/>
  <c r="W15" i="1"/>
  <c r="I15" i="1"/>
  <c r="T65" i="1" l="1"/>
  <c r="S65" i="1" s="1"/>
  <c r="R65" i="1" s="1"/>
  <c r="Q65" i="1" s="1"/>
  <c r="P65" i="1" s="1"/>
  <c r="O65" i="1" s="1"/>
  <c r="N65" i="1" s="1"/>
  <c r="L71" i="1"/>
  <c r="T33" i="1"/>
  <c r="L39" i="1"/>
  <c r="T25" i="1"/>
  <c r="T29" i="1" s="1"/>
  <c r="L31" i="1"/>
  <c r="V69" i="1"/>
  <c r="R69" i="1"/>
  <c r="S69" i="1"/>
  <c r="X29" i="1"/>
  <c r="W29" i="1"/>
  <c r="S25" i="1"/>
  <c r="X69" i="1"/>
  <c r="V29" i="1"/>
  <c r="Q69" i="1"/>
  <c r="T69" i="1"/>
  <c r="V49" i="1"/>
  <c r="W53" i="1"/>
  <c r="X53" i="1"/>
  <c r="W61" i="1"/>
  <c r="V57" i="1"/>
  <c r="W69" i="1"/>
  <c r="V41" i="1"/>
  <c r="W45" i="1"/>
  <c r="T37" i="1"/>
  <c r="S33" i="1"/>
  <c r="W37" i="1"/>
  <c r="X45" i="1"/>
  <c r="X37" i="1"/>
  <c r="V37" i="1"/>
  <c r="S21" i="1"/>
  <c r="R17" i="1"/>
  <c r="I71" i="1" l="1"/>
  <c r="O69" i="1"/>
  <c r="M65" i="1"/>
  <c r="N69" i="1"/>
  <c r="R25" i="1"/>
  <c r="S29" i="1"/>
  <c r="U49" i="1"/>
  <c r="V53" i="1"/>
  <c r="V61" i="1"/>
  <c r="U57" i="1"/>
  <c r="S37" i="1"/>
  <c r="R33" i="1"/>
  <c r="U41" i="1"/>
  <c r="V45" i="1"/>
  <c r="R21" i="1"/>
  <c r="Q17" i="1"/>
  <c r="T49" i="1" l="1"/>
  <c r="L55" i="1"/>
  <c r="L65" i="1"/>
  <c r="M69" i="1"/>
  <c r="T57" i="1"/>
  <c r="T61" i="1" s="1"/>
  <c r="L63" i="1"/>
  <c r="T41" i="1"/>
  <c r="T45" i="1" s="1"/>
  <c r="L47" i="1"/>
  <c r="Q25" i="1"/>
  <c r="R29" i="1"/>
  <c r="S49" i="1"/>
  <c r="T53" i="1"/>
  <c r="R37" i="1"/>
  <c r="Q33" i="1"/>
  <c r="Q21" i="1"/>
  <c r="I23" i="1" s="1"/>
  <c r="P17" i="1"/>
  <c r="O17" i="1" s="1"/>
  <c r="S41" i="1" l="1"/>
  <c r="K65" i="1"/>
  <c r="J65" i="1" s="1"/>
  <c r="L69" i="1"/>
  <c r="S57" i="1"/>
  <c r="P25" i="1"/>
  <c r="O25" i="1" s="1"/>
  <c r="Q29" i="1"/>
  <c r="I31" i="1" s="1"/>
  <c r="S53" i="1"/>
  <c r="R49" i="1"/>
  <c r="S61" i="1"/>
  <c r="R57" i="1"/>
  <c r="Q37" i="1"/>
  <c r="I39" i="1" s="1"/>
  <c r="P33" i="1"/>
  <c r="O33" i="1" s="1"/>
  <c r="R41" i="1"/>
  <c r="S45" i="1"/>
  <c r="O21" i="1"/>
  <c r="N17" i="1"/>
  <c r="I65" i="1" l="1"/>
  <c r="J69" i="1"/>
  <c r="N25" i="1"/>
  <c r="O29" i="1"/>
  <c r="Q57" i="1"/>
  <c r="R61" i="1"/>
  <c r="R53" i="1"/>
  <c r="Q49" i="1"/>
  <c r="Q41" i="1"/>
  <c r="R45" i="1"/>
  <c r="O37" i="1"/>
  <c r="N33" i="1"/>
  <c r="N21" i="1"/>
  <c r="M17" i="1"/>
  <c r="H65" i="1" l="1"/>
  <c r="I69" i="1"/>
  <c r="M25" i="1"/>
  <c r="N29" i="1"/>
  <c r="Q61" i="1"/>
  <c r="I63" i="1" s="1"/>
  <c r="P57" i="1"/>
  <c r="O57" i="1" s="1"/>
  <c r="P49" i="1"/>
  <c r="O49" i="1" s="1"/>
  <c r="Q53" i="1"/>
  <c r="I55" i="1" s="1"/>
  <c r="M33" i="1"/>
  <c r="N37" i="1"/>
  <c r="P41" i="1"/>
  <c r="O41" i="1" s="1"/>
  <c r="Q45" i="1"/>
  <c r="I47" i="1" s="1"/>
  <c r="L17" i="1"/>
  <c r="M21" i="1"/>
  <c r="G65" i="1" l="1"/>
  <c r="H69" i="1"/>
  <c r="M29" i="1"/>
  <c r="L25" i="1"/>
  <c r="O53" i="1"/>
  <c r="N49" i="1"/>
  <c r="N57" i="1"/>
  <c r="O61" i="1"/>
  <c r="N41" i="1"/>
  <c r="O45" i="1"/>
  <c r="L33" i="1"/>
  <c r="M37" i="1"/>
  <c r="K17" i="1"/>
  <c r="J17" i="1" s="1"/>
  <c r="L21" i="1"/>
  <c r="F65" i="1" l="1"/>
  <c r="G69" i="1"/>
  <c r="L29" i="1"/>
  <c r="K25" i="1"/>
  <c r="J25" i="1" s="1"/>
  <c r="M49" i="1"/>
  <c r="N53" i="1"/>
  <c r="N61" i="1"/>
  <c r="M57" i="1"/>
  <c r="M41" i="1"/>
  <c r="N45" i="1"/>
  <c r="K33" i="1"/>
  <c r="J33" i="1" s="1"/>
  <c r="L37" i="1"/>
  <c r="I17" i="1"/>
  <c r="J21" i="1"/>
  <c r="R71" i="1" l="1"/>
  <c r="I25" i="1"/>
  <c r="J29" i="1"/>
  <c r="M53" i="1"/>
  <c r="L49" i="1"/>
  <c r="L57" i="1"/>
  <c r="M61" i="1"/>
  <c r="I33" i="1"/>
  <c r="J37" i="1"/>
  <c r="L41" i="1"/>
  <c r="M45" i="1"/>
  <c r="I21" i="1"/>
  <c r="H17" i="1"/>
  <c r="I29" i="1" l="1"/>
  <c r="H25" i="1"/>
  <c r="K57" i="1"/>
  <c r="J57" i="1" s="1"/>
  <c r="L61" i="1"/>
  <c r="K49" i="1"/>
  <c r="J49" i="1" s="1"/>
  <c r="L53" i="1"/>
  <c r="K41" i="1"/>
  <c r="J41" i="1" s="1"/>
  <c r="L45" i="1"/>
  <c r="H33" i="1"/>
  <c r="I37" i="1"/>
  <c r="H21" i="1"/>
  <c r="G17" i="1"/>
  <c r="H29" i="1" l="1"/>
  <c r="G25" i="1"/>
  <c r="I57" i="1"/>
  <c r="J61" i="1"/>
  <c r="I49" i="1"/>
  <c r="J53" i="1"/>
  <c r="G21" i="1"/>
  <c r="R23" i="1" s="1"/>
  <c r="F17" i="1"/>
  <c r="H37" i="1"/>
  <c r="G33" i="1"/>
  <c r="I41" i="1"/>
  <c r="J45" i="1"/>
  <c r="G29" i="1" l="1"/>
  <c r="R31" i="1" s="1"/>
  <c r="F25" i="1"/>
  <c r="I61" i="1"/>
  <c r="H57" i="1"/>
  <c r="H49" i="1"/>
  <c r="I53" i="1"/>
  <c r="H41" i="1"/>
  <c r="I45" i="1"/>
  <c r="G37" i="1"/>
  <c r="R39" i="1" s="1"/>
  <c r="F33" i="1"/>
  <c r="G49" i="1" l="1"/>
  <c r="H53" i="1"/>
  <c r="G57" i="1"/>
  <c r="H61" i="1"/>
  <c r="G41" i="1"/>
  <c r="H45" i="1"/>
  <c r="F57" i="1" l="1"/>
  <c r="G61" i="1"/>
  <c r="G53" i="1"/>
  <c r="F49" i="1"/>
  <c r="F41" i="1"/>
  <c r="G45" i="1"/>
  <c r="R47" i="1" l="1"/>
  <c r="R55" i="1"/>
  <c r="R63" i="1"/>
</calcChain>
</file>

<file path=xl/sharedStrings.xml><?xml version="1.0" encoding="utf-8"?>
<sst xmlns="http://schemas.openxmlformats.org/spreadsheetml/2006/main" count="301" uniqueCount="68">
  <si>
    <t xml:space="preserve"> </t>
  </si>
  <si>
    <t>A =</t>
  </si>
  <si>
    <t>C =</t>
  </si>
  <si>
    <t>X1 =</t>
  </si>
  <si>
    <t>X2 =</t>
  </si>
  <si>
    <t>X1</t>
  </si>
  <si>
    <t>X2</t>
  </si>
  <si>
    <t>X3</t>
  </si>
  <si>
    <t>X7</t>
  </si>
  <si>
    <t>X8</t>
  </si>
  <si>
    <t>X9</t>
  </si>
  <si>
    <t>X11</t>
  </si>
  <si>
    <t>X3 =</t>
  </si>
  <si>
    <t>X4 =</t>
  </si>
  <si>
    <t>X5 =</t>
  </si>
  <si>
    <t>X6 =</t>
  </si>
  <si>
    <t>=</t>
  </si>
  <si>
    <t>X7=</t>
  </si>
  <si>
    <t>X8=</t>
  </si>
  <si>
    <t>X9=</t>
  </si>
  <si>
    <t>X10=</t>
  </si>
  <si>
    <t>X11=</t>
  </si>
  <si>
    <t>X12=</t>
  </si>
  <si>
    <t>A + C =</t>
  </si>
  <si>
    <t>A + C + C =</t>
  </si>
  <si>
    <t>C - A =</t>
  </si>
  <si>
    <t>65536 - X4</t>
  </si>
  <si>
    <t>-X1 =</t>
  </si>
  <si>
    <t>-X2 =</t>
  </si>
  <si>
    <t>-X3 =</t>
  </si>
  <si>
    <t>-X4 =</t>
  </si>
  <si>
    <t>-X5 =</t>
  </si>
  <si>
    <t>-X6 =</t>
  </si>
  <si>
    <t>B1</t>
  </si>
  <si>
    <t>B2</t>
  </si>
  <si>
    <t>B3</t>
  </si>
  <si>
    <t>B7</t>
  </si>
  <si>
    <t>B8</t>
  </si>
  <si>
    <t>B9</t>
  </si>
  <si>
    <t>B11</t>
  </si>
  <si>
    <t>B1 =</t>
  </si>
  <si>
    <t>B2 =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</si>
  <si>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</si>
  <si>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</si>
  <si>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</si>
  <si>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</si>
  <si>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</si>
  <si>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</si>
  <si>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</si>
  <si>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</si>
  <si>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</si>
  <si>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</si>
  <si>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>+</t>
  </si>
  <si>
    <t>-----------</t>
  </si>
  <si>
    <t>CF =</t>
  </si>
  <si>
    <t>PF =</t>
  </si>
  <si>
    <t>AF=</t>
  </si>
  <si>
    <t>ZF=</t>
  </si>
  <si>
    <t>SF=</t>
  </si>
  <si>
    <t>OF=</t>
  </si>
  <si>
    <t>ОДЗ=[-2^15, 2^15 -1]</t>
  </si>
  <si>
    <t>Халкечев Дмитрий А. Вариант: 26</t>
  </si>
  <si>
    <t>При сложении двух положительных слагаемых получено положительное число. Результат выполнения операции верный и корректный, совпадает с суммой десятичных эквивалентов.</t>
  </si>
  <si>
    <t>При сложении  положительного и отрицательного слагаемых получено положительное число. Результат выполнения операции верный и корректный, совпадает с суммой десятичных эквивалентов.</t>
  </si>
  <si>
    <t>При сложении  положительного и отрицательного слагаемых получено положительное число. Результат выполнения операции неверный, и не совпадает с суммой десятичных эквивалентов.</t>
  </si>
  <si>
    <t>При сложении  двух отрицательных чисел получено положительное число. Результат выполнения операции неверный и некорректный, и не совпадает с суммой десятичных эквивалентов.</t>
  </si>
  <si>
    <t>При сложении  двух отрицательных чисел получено отрицательное число. Результат выполнения операции неверный и некорректный, и не совпадает с суммой десятичных эквивалентов.</t>
  </si>
  <si>
    <t>Дата создания: 28 ‎ноября ‎2025 ‎г., ‏‎19:56:25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</si>
</sst>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left"/>
    </xf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C0DF-1EA4-4BC8-8037-981E8DBC0DC9}">
  <dimension ref="A1:AG72"/>
  <sheetViews>
    <sheetView tabSelected="1" zoomScale="115" zoomScaleNormal="115" workbookViewId="0">
      <selection activeCell="V11" sqref="V11"/>
    </sheetView>
  </sheetViews>
  <sheetFormatPr defaultRowHeight="14.4" x14ac:dyDescent="0.3"/>
  <cols>
    <col min="2" max="2" width="10.5546875" customWidth="1"/>
    <col min="4" max="4" width="8.88671875" customWidth="1"/>
    <col min="5" max="5" width="6.109375" customWidth="1"/>
    <col min="6" max="6" width="7.21875" customWidth="1"/>
    <col min="7" max="7" width="3.33203125" customWidth="1"/>
    <col min="8" max="9" width="3.21875" customWidth="1"/>
    <col min="10" max="10" width="3" customWidth="1"/>
    <col min="11" max="26" width="3.21875" customWidth="1"/>
    <col min="27" max="27" width="4.88671875" customWidth="1"/>
    <col min="28" max="28" width="14.33203125" customWidth="1"/>
    <col min="30" max="30" width="6.33203125" customWidth="1"/>
    <col min="31" max="31" width="7.109375" customWidth="1"/>
    <col min="32" max="32" width="43.44140625" customWidth="1"/>
  </cols>
  <sheetData>
    <row r="1" spans="1:27" x14ac:dyDescent="0.3">
      <c r="A1" t="s">
        <v>0</v>
      </c>
      <c r="B1" s="2" t="s">
        <v>1</v>
      </c>
      <c r="C1">
        <v>10918</v>
      </c>
      <c r="G1" t="s">
        <v>61</v>
      </c>
    </row>
    <row r="2" spans="1:27" x14ac:dyDescent="0.3">
      <c r="B2" s="2" t="s">
        <v>2</v>
      </c>
      <c r="C2">
        <v>19217</v>
      </c>
    </row>
    <row r="3" spans="1:27" x14ac:dyDescent="0.3">
      <c r="G3" s="1">
        <v>15</v>
      </c>
      <c r="H3" s="1">
        <v>14</v>
      </c>
      <c r="I3" s="1">
        <v>13</v>
      </c>
      <c r="J3" s="1">
        <v>12</v>
      </c>
      <c r="K3" s="1"/>
      <c r="L3" s="1">
        <v>11</v>
      </c>
      <c r="M3" s="1">
        <v>10</v>
      </c>
      <c r="N3" s="1">
        <v>9</v>
      </c>
      <c r="O3" s="1">
        <v>8</v>
      </c>
      <c r="P3" s="1"/>
      <c r="Q3" s="1">
        <v>7</v>
      </c>
      <c r="R3" s="1">
        <v>6</v>
      </c>
      <c r="S3" s="1">
        <v>5</v>
      </c>
      <c r="T3" s="1">
        <v>4</v>
      </c>
      <c r="U3" s="1"/>
      <c r="V3" s="1">
        <v>3</v>
      </c>
      <c r="W3" s="1">
        <v>2</v>
      </c>
      <c r="X3" s="1">
        <v>1</v>
      </c>
      <c r="Y3" s="1">
        <v>0</v>
      </c>
      <c r="AA3" t="s">
        <v>60</v>
      </c>
    </row>
    <row r="4" spans="1:27" x14ac:dyDescent="0.3">
      <c r="A4" s="1" t="s">
        <v>3</v>
      </c>
      <c r="B4" s="2" t="s">
        <v>1</v>
      </c>
      <c r="C4">
        <v>10918</v>
      </c>
      <c r="E4" t="s">
        <v>40</v>
      </c>
      <c r="G4" s="1" t="str">
        <f>IF(G$3="",".",MID(IF($C4&gt;0,_xlfn.BASE($C4,2,16),_xlfn.BASE($C4+2^16,2,16)),ABS(G$3-16),1))</f>
        <v>0</v>
      </c>
      <c r="H4" s="1" t="str">
        <f t="shared" ref="H4:W15" si="0">IF(H$3="",".",MID(IF($C4&gt;0,_xlfn.BASE($C4,2,16),_xlfn.BASE($C4+2^16,2,16)),ABS(H$3-16),1))</f>
        <v>0</v>
      </c>
      <c r="I4" s="1" t="str">
        <f t="shared" si="0"/>
        <v>1</v>
      </c>
      <c r="J4" s="1" t="str">
        <f t="shared" si="0"/>
        <v>0</v>
      </c>
      <c r="K4" s="1" t="str">
        <f t="shared" si="0"/>
        <v>.</v>
      </c>
      <c r="L4" s="1" t="str">
        <f t="shared" si="0"/>
        <v>1</v>
      </c>
      <c r="M4" s="1" t="str">
        <f t="shared" si="0"/>
        <v>0</v>
      </c>
      <c r="N4" s="1" t="str">
        <f t="shared" si="0"/>
        <v>1</v>
      </c>
      <c r="O4" s="1" t="str">
        <f t="shared" si="0"/>
        <v>0</v>
      </c>
      <c r="P4" s="1" t="str">
        <f t="shared" si="0"/>
        <v>.</v>
      </c>
      <c r="Q4" s="1" t="str">
        <f t="shared" si="0"/>
        <v>1</v>
      </c>
      <c r="R4" s="1" t="str">
        <f t="shared" si="0"/>
        <v>0</v>
      </c>
      <c r="S4" s="1" t="str">
        <f t="shared" si="0"/>
        <v>1</v>
      </c>
      <c r="T4" s="1" t="str">
        <f t="shared" si="0"/>
        <v>0</v>
      </c>
      <c r="U4" s="1" t="str">
        <f t="shared" si="0"/>
        <v>.</v>
      </c>
      <c r="V4" s="1" t="str">
        <f t="shared" si="0"/>
        <v>0</v>
      </c>
      <c r="W4" s="1" t="str">
        <f t="shared" si="0"/>
        <v>1</v>
      </c>
      <c r="X4" s="1" t="str">
        <f t="shared" ref="X4:Y15" si="1">IF(X$3="",".",MID(IF($C4&gt;0,_xlfn.BASE($C4,2,16),_xlfn.BASE($C4+2^16,2,16)),ABS(X$3-16),1))</f>
        <v>1</v>
      </c>
      <c r="Y4" s="1" t="str">
        <f t="shared" si="1"/>
        <v>0</v>
      </c>
    </row>
    <row r="5" spans="1:27" x14ac:dyDescent="0.3">
      <c r="A5" s="1" t="s">
        <v>4</v>
      </c>
      <c r="B5" s="2" t="s">
        <v>2</v>
      </c>
      <c r="C5">
        <v>19217</v>
      </c>
      <c r="E5" t="s">
        <v>41</v>
      </c>
      <c r="G5" s="3" t="str">
        <f t="shared" ref="G5:G15" si="2">IF(G$3="",".",MID(IF($C5&gt;0,_xlfn.BASE($C5,2,16),_xlfn.BASE($C5+2^16,2,16)),ABS(G$3-16),1))</f>
        <v>0</v>
      </c>
      <c r="H5" s="1" t="str">
        <f t="shared" si="0"/>
        <v>1</v>
      </c>
      <c r="I5" s="1" t="str">
        <f t="shared" si="0"/>
        <v>0</v>
      </c>
      <c r="J5" s="1" t="str">
        <f t="shared" si="0"/>
        <v>0</v>
      </c>
      <c r="K5" s="1" t="str">
        <f t="shared" si="0"/>
        <v>.</v>
      </c>
      <c r="L5" s="1" t="str">
        <f t="shared" si="0"/>
        <v>1</v>
      </c>
      <c r="M5" s="1" t="str">
        <f t="shared" si="0"/>
        <v>0</v>
      </c>
      <c r="N5" s="1" t="str">
        <f t="shared" si="0"/>
        <v>1</v>
      </c>
      <c r="O5" s="1" t="str">
        <f t="shared" si="0"/>
        <v>1</v>
      </c>
      <c r="P5" s="1" t="str">
        <f t="shared" si="0"/>
        <v>.</v>
      </c>
      <c r="Q5" s="1" t="str">
        <f t="shared" si="0"/>
        <v>0</v>
      </c>
      <c r="R5" s="1" t="str">
        <f t="shared" si="0"/>
        <v>0</v>
      </c>
      <c r="S5" s="1" t="str">
        <f t="shared" si="0"/>
        <v>0</v>
      </c>
      <c r="T5" s="1" t="str">
        <f t="shared" si="0"/>
        <v>1</v>
      </c>
      <c r="U5" s="1" t="str">
        <f t="shared" si="0"/>
        <v>.</v>
      </c>
      <c r="V5" s="1" t="str">
        <f t="shared" si="0"/>
        <v>0</v>
      </c>
      <c r="W5" s="1" t="str">
        <f t="shared" si="0"/>
        <v>0</v>
      </c>
      <c r="X5" s="1" t="str">
        <f t="shared" si="1"/>
        <v>0</v>
      </c>
      <c r="Y5" s="1" t="str">
        <f t="shared" si="1"/>
        <v>1</v>
      </c>
    </row>
    <row r="6" spans="1:27" x14ac:dyDescent="0.3">
      <c r="A6" s="1" t="s">
        <v>12</v>
      </c>
      <c r="B6" s="2" t="s">
        <v>23</v>
      </c>
      <c r="C6">
        <f>C4+C5</f>
        <v>30135</v>
      </c>
      <c r="E6" t="s">
        <v>42</v>
      </c>
      <c r="G6" s="1" t="str">
        <f t="shared" si="2"/>
        <v>0</v>
      </c>
      <c r="H6" s="1" t="str">
        <f t="shared" si="0"/>
        <v>1</v>
      </c>
      <c r="I6" s="1" t="str">
        <f t="shared" si="0"/>
        <v>1</v>
      </c>
      <c r="J6" s="1" t="str">
        <f t="shared" si="0"/>
        <v>1</v>
      </c>
      <c r="K6" s="1" t="str">
        <f t="shared" si="0"/>
        <v>.</v>
      </c>
      <c r="L6" s="1" t="str">
        <f t="shared" si="0"/>
        <v>0</v>
      </c>
      <c r="M6" s="1" t="str">
        <f t="shared" si="0"/>
        <v>1</v>
      </c>
      <c r="N6" s="1" t="str">
        <f t="shared" si="0"/>
        <v>0</v>
      </c>
      <c r="O6" s="1" t="str">
        <f t="shared" si="0"/>
        <v>1</v>
      </c>
      <c r="P6" s="1" t="str">
        <f t="shared" si="0"/>
        <v>.</v>
      </c>
      <c r="Q6" s="1" t="str">
        <f t="shared" si="0"/>
        <v>1</v>
      </c>
      <c r="R6" s="1" t="str">
        <f t="shared" si="0"/>
        <v>0</v>
      </c>
      <c r="S6" s="1" t="str">
        <f t="shared" si="0"/>
        <v>1</v>
      </c>
      <c r="T6" s="1" t="str">
        <f t="shared" si="0"/>
        <v>1</v>
      </c>
      <c r="U6" s="1" t="str">
        <f t="shared" si="0"/>
        <v>.</v>
      </c>
      <c r="V6" s="1" t="str">
        <f t="shared" si="0"/>
        <v>0</v>
      </c>
      <c r="W6" s="1" t="str">
        <f t="shared" si="0"/>
        <v>1</v>
      </c>
      <c r="X6" s="1" t="str">
        <f t="shared" si="1"/>
        <v>1</v>
      </c>
      <c r="Y6" s="1" t="str">
        <f t="shared" si="1"/>
        <v>1</v>
      </c>
    </row>
    <row r="7" spans="1:27" x14ac:dyDescent="0.3">
      <c r="A7" s="1" t="s">
        <v>13</v>
      </c>
      <c r="B7" s="2" t="s">
        <v>24</v>
      </c>
      <c r="C7">
        <f>C4+C5*2</f>
        <v>49352</v>
      </c>
      <c r="E7" t="s">
        <v>43</v>
      </c>
      <c r="G7" s="1" t="str">
        <f t="shared" si="2"/>
        <v>1</v>
      </c>
      <c r="H7" s="1" t="str">
        <f t="shared" si="0"/>
        <v>1</v>
      </c>
      <c r="I7" s="1" t="str">
        <f t="shared" si="0"/>
        <v>0</v>
      </c>
      <c r="J7" s="1" t="str">
        <f t="shared" si="0"/>
        <v>0</v>
      </c>
      <c r="K7" s="1" t="str">
        <f t="shared" si="0"/>
        <v>.</v>
      </c>
      <c r="L7" s="1" t="str">
        <f t="shared" si="0"/>
        <v>0</v>
      </c>
      <c r="M7" s="1" t="str">
        <f t="shared" si="0"/>
        <v>0</v>
      </c>
      <c r="N7" s="1" t="str">
        <f t="shared" si="0"/>
        <v>0</v>
      </c>
      <c r="O7" s="1" t="str">
        <f t="shared" si="0"/>
        <v>0</v>
      </c>
      <c r="P7" s="1" t="str">
        <f t="shared" si="0"/>
        <v>.</v>
      </c>
      <c r="Q7" s="1" t="str">
        <f t="shared" si="0"/>
        <v>1</v>
      </c>
      <c r="R7" s="1" t="str">
        <f t="shared" si="0"/>
        <v>1</v>
      </c>
      <c r="S7" s="1" t="str">
        <f t="shared" si="0"/>
        <v>0</v>
      </c>
      <c r="T7" s="1" t="str">
        <f t="shared" si="0"/>
        <v>0</v>
      </c>
      <c r="U7" s="1" t="str">
        <f t="shared" si="0"/>
        <v>.</v>
      </c>
      <c r="V7" s="1" t="str">
        <f t="shared" si="0"/>
        <v>1</v>
      </c>
      <c r="W7" s="1" t="str">
        <f t="shared" si="0"/>
        <v>0</v>
      </c>
      <c r="X7" s="1" t="str">
        <f t="shared" si="1"/>
        <v>0</v>
      </c>
      <c r="Y7" s="1" t="str">
        <f t="shared" si="1"/>
        <v>0</v>
      </c>
    </row>
    <row r="8" spans="1:27" x14ac:dyDescent="0.3">
      <c r="A8" s="1" t="s">
        <v>14</v>
      </c>
      <c r="B8" s="2" t="s">
        <v>25</v>
      </c>
      <c r="C8">
        <f>C5-C4</f>
        <v>8299</v>
      </c>
      <c r="E8" t="s">
        <v>44</v>
      </c>
      <c r="G8" s="1" t="str">
        <f t="shared" si="2"/>
        <v>0</v>
      </c>
      <c r="H8" s="1" t="str">
        <f t="shared" si="0"/>
        <v>0</v>
      </c>
      <c r="I8" s="1" t="str">
        <f t="shared" si="0"/>
        <v>1</v>
      </c>
      <c r="J8" s="1" t="str">
        <f t="shared" si="0"/>
        <v>0</v>
      </c>
      <c r="K8" s="1" t="str">
        <f t="shared" si="0"/>
        <v>.</v>
      </c>
      <c r="L8" s="1" t="str">
        <f t="shared" si="0"/>
        <v>0</v>
      </c>
      <c r="M8" s="1" t="str">
        <f t="shared" si="0"/>
        <v>0</v>
      </c>
      <c r="N8" s="1" t="str">
        <f t="shared" si="0"/>
        <v>0</v>
      </c>
      <c r="O8" s="1" t="str">
        <f t="shared" si="0"/>
        <v>0</v>
      </c>
      <c r="P8" s="1" t="str">
        <f t="shared" si="0"/>
        <v>.</v>
      </c>
      <c r="Q8" s="1" t="str">
        <f t="shared" si="0"/>
        <v>0</v>
      </c>
      <c r="R8" s="1" t="str">
        <f t="shared" si="0"/>
        <v>1</v>
      </c>
      <c r="S8" s="1" t="str">
        <f t="shared" si="0"/>
        <v>1</v>
      </c>
      <c r="T8" s="1" t="str">
        <f t="shared" si="0"/>
        <v>0</v>
      </c>
      <c r="U8" s="1" t="str">
        <f t="shared" si="0"/>
        <v>.</v>
      </c>
      <c r="V8" s="1" t="str">
        <f t="shared" si="0"/>
        <v>1</v>
      </c>
      <c r="W8" s="1" t="str">
        <f t="shared" si="0"/>
        <v>0</v>
      </c>
      <c r="X8" s="1" t="str">
        <f t="shared" si="1"/>
        <v>1</v>
      </c>
      <c r="Y8" s="1" t="str">
        <f t="shared" si="1"/>
        <v>1</v>
      </c>
    </row>
    <row r="9" spans="1:27" x14ac:dyDescent="0.3">
      <c r="A9" s="1" t="s">
        <v>15</v>
      </c>
      <c r="B9" s="2" t="s">
        <v>26</v>
      </c>
      <c r="C9">
        <f>65536-C7</f>
        <v>16184</v>
      </c>
      <c r="E9" t="s">
        <v>45</v>
      </c>
      <c r="G9" s="1" t="str">
        <f t="shared" si="2"/>
        <v>0</v>
      </c>
      <c r="H9" s="1" t="str">
        <f t="shared" si="0"/>
        <v>0</v>
      </c>
      <c r="I9" s="1" t="str">
        <f t="shared" si="0"/>
        <v>1</v>
      </c>
      <c r="J9" s="1" t="str">
        <f t="shared" si="0"/>
        <v>1</v>
      </c>
      <c r="K9" s="1" t="str">
        <f t="shared" si="0"/>
        <v>.</v>
      </c>
      <c r="L9" s="1" t="str">
        <f t="shared" si="0"/>
        <v>1</v>
      </c>
      <c r="M9" s="1" t="str">
        <f t="shared" si="0"/>
        <v>1</v>
      </c>
      <c r="N9" s="1" t="str">
        <f t="shared" si="0"/>
        <v>1</v>
      </c>
      <c r="O9" s="1" t="str">
        <f t="shared" si="0"/>
        <v>1</v>
      </c>
      <c r="P9" s="1" t="str">
        <f t="shared" si="0"/>
        <v>.</v>
      </c>
      <c r="Q9" s="1" t="str">
        <f t="shared" si="0"/>
        <v>0</v>
      </c>
      <c r="R9" s="1" t="str">
        <f t="shared" si="0"/>
        <v>0</v>
      </c>
      <c r="S9" s="1" t="str">
        <f t="shared" si="0"/>
        <v>1</v>
      </c>
      <c r="T9" s="1" t="str">
        <f t="shared" si="0"/>
        <v>1</v>
      </c>
      <c r="U9" s="1" t="str">
        <f t="shared" si="0"/>
        <v>.</v>
      </c>
      <c r="V9" s="1" t="str">
        <f t="shared" si="0"/>
        <v>1</v>
      </c>
      <c r="W9" s="1" t="str">
        <f t="shared" si="0"/>
        <v>0</v>
      </c>
      <c r="X9" s="1" t="str">
        <f t="shared" si="1"/>
        <v>0</v>
      </c>
      <c r="Y9" s="1" t="str">
        <f t="shared" si="1"/>
        <v>0</v>
      </c>
    </row>
    <row r="10" spans="1:27" x14ac:dyDescent="0.3">
      <c r="A10" s="1" t="s">
        <v>17</v>
      </c>
      <c r="B10" s="2" t="s">
        <v>27</v>
      </c>
      <c r="C10">
        <f t="shared" ref="C10:C15" si="3">-C4</f>
        <v>-10918</v>
      </c>
      <c r="E10" t="s">
        <v>46</v>
      </c>
      <c r="G10" s="1" t="str">
        <f t="shared" si="2"/>
        <v>1</v>
      </c>
      <c r="H10" s="1" t="str">
        <f t="shared" si="0"/>
        <v>1</v>
      </c>
      <c r="I10" s="1" t="str">
        <f t="shared" si="0"/>
        <v>0</v>
      </c>
      <c r="J10" s="1" t="str">
        <f t="shared" si="0"/>
        <v>1</v>
      </c>
      <c r="K10" s="1" t="str">
        <f t="shared" si="0"/>
        <v>.</v>
      </c>
      <c r="L10" s="1" t="str">
        <f t="shared" si="0"/>
        <v>0</v>
      </c>
      <c r="M10" s="1" t="str">
        <f t="shared" si="0"/>
        <v>1</v>
      </c>
      <c r="N10" s="1" t="str">
        <f t="shared" si="0"/>
        <v>0</v>
      </c>
      <c r="O10" s="1" t="str">
        <f t="shared" si="0"/>
        <v>1</v>
      </c>
      <c r="P10" s="1" t="str">
        <f t="shared" si="0"/>
        <v>.</v>
      </c>
      <c r="Q10" s="1" t="str">
        <f t="shared" si="0"/>
        <v>0</v>
      </c>
      <c r="R10" s="1" t="str">
        <f t="shared" si="0"/>
        <v>1</v>
      </c>
      <c r="S10" s="1" t="str">
        <f t="shared" si="0"/>
        <v>0</v>
      </c>
      <c r="T10" s="1" t="str">
        <f t="shared" si="0"/>
        <v>1</v>
      </c>
      <c r="U10" s="1" t="str">
        <f t="shared" si="0"/>
        <v>.</v>
      </c>
      <c r="V10" s="1" t="str">
        <f t="shared" si="0"/>
        <v>1</v>
      </c>
      <c r="W10" s="1" t="str">
        <f t="shared" si="0"/>
        <v>0</v>
      </c>
      <c r="X10" s="1" t="str">
        <f t="shared" si="1"/>
        <v>1</v>
      </c>
      <c r="Y10" s="1" t="str">
        <f t="shared" si="1"/>
        <v>0</v>
      </c>
    </row>
    <row r="11" spans="1:27" x14ac:dyDescent="0.3">
      <c r="A11" s="1" t="s">
        <v>18</v>
      </c>
      <c r="B11" s="2" t="s">
        <v>28</v>
      </c>
      <c r="C11">
        <f t="shared" si="3"/>
        <v>-19217</v>
      </c>
      <c r="E11" t="s">
        <v>47</v>
      </c>
      <c r="G11" s="1" t="str">
        <f t="shared" si="2"/>
        <v>1</v>
      </c>
      <c r="H11" s="1" t="str">
        <f t="shared" si="0"/>
        <v>0</v>
      </c>
      <c r="I11" s="1" t="str">
        <f t="shared" si="0"/>
        <v>1</v>
      </c>
      <c r="J11" s="1" t="str">
        <f t="shared" si="0"/>
        <v>1</v>
      </c>
      <c r="K11" s="1" t="str">
        <f t="shared" si="0"/>
        <v>.</v>
      </c>
      <c r="L11" s="1" t="str">
        <f t="shared" si="0"/>
        <v>0</v>
      </c>
      <c r="M11" s="1" t="str">
        <f t="shared" si="0"/>
        <v>1</v>
      </c>
      <c r="N11" s="1" t="str">
        <f t="shared" si="0"/>
        <v>0</v>
      </c>
      <c r="O11" s="1" t="str">
        <f t="shared" si="0"/>
        <v>0</v>
      </c>
      <c r="P11" s="1" t="str">
        <f t="shared" si="0"/>
        <v>.</v>
      </c>
      <c r="Q11" s="1" t="str">
        <f t="shared" si="0"/>
        <v>1</v>
      </c>
      <c r="R11" s="1" t="str">
        <f t="shared" si="0"/>
        <v>1</v>
      </c>
      <c r="S11" s="1" t="str">
        <f t="shared" si="0"/>
        <v>1</v>
      </c>
      <c r="T11" s="1" t="str">
        <f t="shared" si="0"/>
        <v>0</v>
      </c>
      <c r="U11" s="1" t="str">
        <f t="shared" si="0"/>
        <v>.</v>
      </c>
      <c r="V11" s="1" t="str">
        <f t="shared" si="0"/>
        <v>1</v>
      </c>
      <c r="W11" s="1" t="str">
        <f t="shared" si="0"/>
        <v>1</v>
      </c>
      <c r="X11" s="1" t="str">
        <f t="shared" si="1"/>
        <v>1</v>
      </c>
      <c r="Y11" s="1" t="str">
        <f t="shared" si="1"/>
        <v>1</v>
      </c>
    </row>
    <row r="12" spans="1:27" x14ac:dyDescent="0.3">
      <c r="A12" s="1" t="s">
        <v>19</v>
      </c>
      <c r="B12" s="2" t="s">
        <v>29</v>
      </c>
      <c r="C12">
        <f t="shared" si="3"/>
        <v>-30135</v>
      </c>
      <c r="E12" t="s">
        <v>48</v>
      </c>
      <c r="G12" s="1" t="str">
        <f t="shared" si="2"/>
        <v>1</v>
      </c>
      <c r="H12" s="1" t="str">
        <f t="shared" si="0"/>
        <v>0</v>
      </c>
      <c r="I12" s="1" t="str">
        <f t="shared" si="0"/>
        <v>0</v>
      </c>
      <c r="J12" s="1" t="str">
        <f t="shared" si="0"/>
        <v>0</v>
      </c>
      <c r="K12" s="1" t="str">
        <f t="shared" si="0"/>
        <v>.</v>
      </c>
      <c r="L12" s="1" t="str">
        <f t="shared" si="0"/>
        <v>1</v>
      </c>
      <c r="M12" s="1" t="str">
        <f t="shared" si="0"/>
        <v>0</v>
      </c>
      <c r="N12" s="1" t="str">
        <f t="shared" si="0"/>
        <v>1</v>
      </c>
      <c r="O12" s="1" t="str">
        <f t="shared" si="0"/>
        <v>0</v>
      </c>
      <c r="P12" s="1" t="str">
        <f t="shared" si="0"/>
        <v>.</v>
      </c>
      <c r="Q12" s="1" t="str">
        <f t="shared" si="0"/>
        <v>0</v>
      </c>
      <c r="R12" s="1" t="str">
        <f t="shared" si="0"/>
        <v>1</v>
      </c>
      <c r="S12" s="1" t="str">
        <f t="shared" si="0"/>
        <v>0</v>
      </c>
      <c r="T12" s="1" t="str">
        <f t="shared" si="0"/>
        <v>0</v>
      </c>
      <c r="U12" s="1" t="str">
        <f t="shared" si="0"/>
        <v>.</v>
      </c>
      <c r="V12" s="1" t="str">
        <f t="shared" si="0"/>
        <v>1</v>
      </c>
      <c r="W12" s="1" t="str">
        <f t="shared" si="0"/>
        <v>0</v>
      </c>
      <c r="X12" s="1" t="str">
        <f t="shared" si="1"/>
        <v>0</v>
      </c>
      <c r="Y12" s="1" t="str">
        <f t="shared" si="1"/>
        <v>1</v>
      </c>
    </row>
    <row r="13" spans="1:27" x14ac:dyDescent="0.3">
      <c r="A13" s="1" t="s">
        <v>20</v>
      </c>
      <c r="B13" s="2" t="s">
        <v>30</v>
      </c>
      <c r="C13">
        <f t="shared" si="3"/>
        <v>-49352</v>
      </c>
      <c r="E13" t="s">
        <v>49</v>
      </c>
      <c r="G13" s="1" t="str">
        <f t="shared" si="2"/>
        <v>0</v>
      </c>
      <c r="H13" s="1" t="str">
        <f t="shared" si="0"/>
        <v>0</v>
      </c>
      <c r="I13" s="1" t="str">
        <f t="shared" si="0"/>
        <v>1</v>
      </c>
      <c r="J13" s="1" t="str">
        <f t="shared" si="0"/>
        <v>1</v>
      </c>
      <c r="K13" s="1" t="str">
        <f t="shared" si="0"/>
        <v>.</v>
      </c>
      <c r="L13" s="1" t="str">
        <f t="shared" si="0"/>
        <v>1</v>
      </c>
      <c r="M13" s="1" t="str">
        <f t="shared" si="0"/>
        <v>1</v>
      </c>
      <c r="N13" s="1" t="str">
        <f t="shared" si="0"/>
        <v>1</v>
      </c>
      <c r="O13" s="1" t="str">
        <f t="shared" si="0"/>
        <v>1</v>
      </c>
      <c r="P13" s="1" t="str">
        <f t="shared" si="0"/>
        <v>.</v>
      </c>
      <c r="Q13" s="1" t="str">
        <f t="shared" si="0"/>
        <v>0</v>
      </c>
      <c r="R13" s="1" t="str">
        <f t="shared" si="0"/>
        <v>0</v>
      </c>
      <c r="S13" s="1" t="str">
        <f t="shared" si="0"/>
        <v>1</v>
      </c>
      <c r="T13" s="1" t="str">
        <f t="shared" si="0"/>
        <v>1</v>
      </c>
      <c r="U13" s="1" t="str">
        <f t="shared" si="0"/>
        <v>.</v>
      </c>
      <c r="V13" s="1" t="str">
        <f t="shared" si="0"/>
        <v>1</v>
      </c>
      <c r="W13" s="1" t="str">
        <f t="shared" si="0"/>
        <v>0</v>
      </c>
      <c r="X13" s="1" t="str">
        <f t="shared" si="1"/>
        <v>0</v>
      </c>
      <c r="Y13" s="1" t="str">
        <f t="shared" si="1"/>
        <v>0</v>
      </c>
    </row>
    <row r="14" spans="1:27" x14ac:dyDescent="0.3">
      <c r="A14" s="1" t="s">
        <v>21</v>
      </c>
      <c r="B14" s="2" t="s">
        <v>31</v>
      </c>
      <c r="C14">
        <f t="shared" si="3"/>
        <v>-8299</v>
      </c>
      <c r="E14" t="s">
        <v>50</v>
      </c>
      <c r="G14" s="1" t="str">
        <f t="shared" si="2"/>
        <v>1</v>
      </c>
      <c r="H14" s="1" t="str">
        <f t="shared" si="0"/>
        <v>1</v>
      </c>
      <c r="I14" s="1" t="str">
        <f t="shared" si="0"/>
        <v>0</v>
      </c>
      <c r="J14" s="1" t="str">
        <f t="shared" si="0"/>
        <v>1</v>
      </c>
      <c r="K14" s="1" t="str">
        <f t="shared" si="0"/>
        <v>.</v>
      </c>
      <c r="L14" s="1" t="str">
        <f t="shared" si="0"/>
        <v>1</v>
      </c>
      <c r="M14" s="1" t="str">
        <f t="shared" si="0"/>
        <v>1</v>
      </c>
      <c r="N14" s="1" t="str">
        <f t="shared" si="0"/>
        <v>1</v>
      </c>
      <c r="O14" s="1" t="str">
        <f t="shared" si="0"/>
        <v>1</v>
      </c>
      <c r="P14" s="1" t="str">
        <f t="shared" si="0"/>
        <v>.</v>
      </c>
      <c r="Q14" s="1" t="str">
        <f t="shared" si="0"/>
        <v>1</v>
      </c>
      <c r="R14" s="1" t="str">
        <f t="shared" si="0"/>
        <v>0</v>
      </c>
      <c r="S14" s="1" t="str">
        <f t="shared" si="0"/>
        <v>0</v>
      </c>
      <c r="T14" s="1" t="str">
        <f t="shared" si="0"/>
        <v>1</v>
      </c>
      <c r="U14" s="1" t="str">
        <f t="shared" si="0"/>
        <v>.</v>
      </c>
      <c r="V14" s="1" t="str">
        <f t="shared" si="0"/>
        <v>0</v>
      </c>
      <c r="W14" s="1" t="str">
        <f t="shared" si="0"/>
        <v>1</v>
      </c>
      <c r="X14" s="1" t="str">
        <f t="shared" si="1"/>
        <v>0</v>
      </c>
      <c r="Y14" s="1" t="str">
        <f t="shared" si="1"/>
        <v>1</v>
      </c>
    </row>
    <row r="15" spans="1:27" x14ac:dyDescent="0.3">
      <c r="A15" s="1" t="s">
        <v>22</v>
      </c>
      <c r="B15" s="2" t="s">
        <v>32</v>
      </c>
      <c r="C15">
        <f t="shared" si="3"/>
        <v>-16184</v>
      </c>
      <c r="E15" t="s">
        <v>51</v>
      </c>
      <c r="G15" s="1" t="str">
        <f t="shared" si="2"/>
        <v>1</v>
      </c>
      <c r="H15" s="1" t="str">
        <f t="shared" si="0"/>
        <v>1</v>
      </c>
      <c r="I15" s="1" t="str">
        <f t="shared" si="0"/>
        <v>0</v>
      </c>
      <c r="J15" s="1" t="str">
        <f t="shared" si="0"/>
        <v>0</v>
      </c>
      <c r="K15" s="1" t="str">
        <f t="shared" si="0"/>
        <v>.</v>
      </c>
      <c r="L15" s="1" t="str">
        <f t="shared" si="0"/>
        <v>0</v>
      </c>
      <c r="M15" s="1" t="str">
        <f t="shared" si="0"/>
        <v>0</v>
      </c>
      <c r="N15" s="1" t="str">
        <f t="shared" si="0"/>
        <v>0</v>
      </c>
      <c r="O15" s="1" t="str">
        <f t="shared" si="0"/>
        <v>0</v>
      </c>
      <c r="P15" s="1" t="str">
        <f t="shared" si="0"/>
        <v>.</v>
      </c>
      <c r="Q15" s="1" t="str">
        <f t="shared" si="0"/>
        <v>1</v>
      </c>
      <c r="R15" s="1" t="str">
        <f t="shared" si="0"/>
        <v>1</v>
      </c>
      <c r="S15" s="1" t="str">
        <f t="shared" si="0"/>
        <v>0</v>
      </c>
      <c r="T15" s="1" t="str">
        <f t="shared" si="0"/>
        <v>0</v>
      </c>
      <c r="U15" s="1" t="str">
        <f t="shared" si="0"/>
        <v>.</v>
      </c>
      <c r="V15" s="1" t="str">
        <f t="shared" si="0"/>
        <v>1</v>
      </c>
      <c r="W15" s="1" t="str">
        <f t="shared" si="0"/>
        <v>0</v>
      </c>
      <c r="X15" s="1" t="str">
        <f t="shared" si="1"/>
        <v>0</v>
      </c>
      <c r="Y15" s="1" t="str">
        <f t="shared" si="1"/>
        <v>0</v>
      </c>
    </row>
    <row r="16" spans="1:27" x14ac:dyDescent="0.3">
      <c r="A16" s="1"/>
      <c r="B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4:33" x14ac:dyDescent="0.3">
      <c r="F17" s="1">
        <f t="shared" ref="F17" si="4">IF(G18 &lt;&gt; ".", IF((G17+G18+G19) &gt;= 2, 1, 0), G17)</f>
        <v>0</v>
      </c>
      <c r="G17" s="5">
        <f t="shared" ref="G17:I17" si="5">IF(H18 &lt;&gt; ".", IF((H17+H18+H19) &gt;= 2, 1, 0), H17)</f>
        <v>0</v>
      </c>
      <c r="H17" s="5">
        <f t="shared" si="5"/>
        <v>0</v>
      </c>
      <c r="I17" s="5">
        <f t="shared" si="5"/>
        <v>0</v>
      </c>
      <c r="J17" s="5">
        <f>IF(K18 &lt;&gt; ".", IF((K17+K18+K19) &gt;= 2, 1, 0), K17)</f>
        <v>1</v>
      </c>
      <c r="K17" s="5">
        <f t="shared" ref="K17:Y17" si="6">IF(L18 &lt;&gt; ".", IF((L17+L18+L19) &gt;= 2, 1, 0), L17)</f>
        <v>1</v>
      </c>
      <c r="L17" s="5">
        <f t="shared" si="6"/>
        <v>0</v>
      </c>
      <c r="M17" s="5">
        <f t="shared" si="6"/>
        <v>1</v>
      </c>
      <c r="N17" s="5">
        <f t="shared" si="6"/>
        <v>0</v>
      </c>
      <c r="O17" s="5">
        <f t="shared" si="6"/>
        <v>0</v>
      </c>
      <c r="P17" s="5">
        <f t="shared" si="6"/>
        <v>0</v>
      </c>
      <c r="Q17" s="5">
        <f t="shared" si="6"/>
        <v>0</v>
      </c>
      <c r="R17" s="5">
        <f t="shared" si="6"/>
        <v>0</v>
      </c>
      <c r="S17" s="5">
        <f t="shared" si="6"/>
        <v>0</v>
      </c>
      <c r="T17" s="5">
        <f t="shared" si="6"/>
        <v>0</v>
      </c>
      <c r="U17" s="5">
        <f t="shared" si="6"/>
        <v>0</v>
      </c>
      <c r="V17" s="5">
        <f t="shared" si="6"/>
        <v>0</v>
      </c>
      <c r="W17" s="5">
        <f t="shared" si="6"/>
        <v>0</v>
      </c>
      <c r="X17" s="5">
        <f t="shared" si="6"/>
        <v>0</v>
      </c>
      <c r="Y17" s="5">
        <f t="shared" si="6"/>
        <v>0</v>
      </c>
    </row>
    <row r="18" spans="4:33" x14ac:dyDescent="0.3">
      <c r="D18" s="2"/>
      <c r="E18" t="s">
        <v>33</v>
      </c>
      <c r="F18" s="1"/>
      <c r="G18" s="5" t="str">
        <f>G4</f>
        <v>0</v>
      </c>
      <c r="H18" s="5" t="str">
        <f t="shared" ref="H18:Y18" si="7">H4</f>
        <v>0</v>
      </c>
      <c r="I18" s="5" t="str">
        <f t="shared" si="7"/>
        <v>1</v>
      </c>
      <c r="J18" s="5" t="str">
        <f t="shared" si="7"/>
        <v>0</v>
      </c>
      <c r="K18" s="5" t="str">
        <f t="shared" si="7"/>
        <v>.</v>
      </c>
      <c r="L18" s="5" t="str">
        <f t="shared" si="7"/>
        <v>1</v>
      </c>
      <c r="M18" s="5" t="str">
        <f t="shared" si="7"/>
        <v>0</v>
      </c>
      <c r="N18" s="5" t="str">
        <f t="shared" si="7"/>
        <v>1</v>
      </c>
      <c r="O18" s="5" t="str">
        <f t="shared" si="7"/>
        <v>0</v>
      </c>
      <c r="P18" s="5" t="str">
        <f t="shared" si="7"/>
        <v>.</v>
      </c>
      <c r="Q18" s="5" t="str">
        <f t="shared" si="7"/>
        <v>1</v>
      </c>
      <c r="R18" s="5" t="str">
        <f t="shared" si="7"/>
        <v>0</v>
      </c>
      <c r="S18" s="5" t="str">
        <f t="shared" si="7"/>
        <v>1</v>
      </c>
      <c r="T18" s="5" t="str">
        <f t="shared" si="7"/>
        <v>0</v>
      </c>
      <c r="U18" s="5" t="str">
        <f t="shared" si="7"/>
        <v>.</v>
      </c>
      <c r="V18" s="5" t="str">
        <f t="shared" si="7"/>
        <v>0</v>
      </c>
      <c r="W18" s="5" t="str">
        <f t="shared" si="7"/>
        <v>1</v>
      </c>
      <c r="X18" s="5" t="str">
        <f t="shared" si="7"/>
        <v>1</v>
      </c>
      <c r="Y18" s="5" t="str">
        <f t="shared" si="7"/>
        <v>0</v>
      </c>
      <c r="AD18" t="s">
        <v>5</v>
      </c>
      <c r="AE18">
        <f>C4</f>
        <v>10918</v>
      </c>
      <c r="AF18" t="s">
        <v>62</v>
      </c>
    </row>
    <row r="19" spans="4:33" x14ac:dyDescent="0.3">
      <c r="D19" s="2" t="s">
        <v>52</v>
      </c>
      <c r="E19" t="s">
        <v>34</v>
      </c>
      <c r="F19" s="1"/>
      <c r="G19" s="7" t="str">
        <f>G5</f>
        <v>0</v>
      </c>
      <c r="H19" s="7" t="str">
        <f t="shared" ref="H19:Y19" si="8">H5</f>
        <v>1</v>
      </c>
      <c r="I19" s="7" t="str">
        <f t="shared" si="8"/>
        <v>0</v>
      </c>
      <c r="J19" s="7" t="str">
        <f t="shared" si="8"/>
        <v>0</v>
      </c>
      <c r="K19" s="7" t="str">
        <f t="shared" si="8"/>
        <v>.</v>
      </c>
      <c r="L19" s="7" t="str">
        <f t="shared" si="8"/>
        <v>1</v>
      </c>
      <c r="M19" s="7" t="str">
        <f t="shared" si="8"/>
        <v>0</v>
      </c>
      <c r="N19" s="7" t="str">
        <f t="shared" si="8"/>
        <v>1</v>
      </c>
      <c r="O19" s="7" t="str">
        <f t="shared" si="8"/>
        <v>1</v>
      </c>
      <c r="P19" s="7" t="str">
        <f t="shared" si="8"/>
        <v>.</v>
      </c>
      <c r="Q19" s="7" t="str">
        <f t="shared" si="8"/>
        <v>0</v>
      </c>
      <c r="R19" s="7" t="str">
        <f t="shared" si="8"/>
        <v>0</v>
      </c>
      <c r="S19" s="7" t="str">
        <f t="shared" si="8"/>
        <v>0</v>
      </c>
      <c r="T19" s="7" t="str">
        <f t="shared" si="8"/>
        <v>1</v>
      </c>
      <c r="U19" s="7" t="str">
        <f t="shared" si="8"/>
        <v>.</v>
      </c>
      <c r="V19" s="7" t="str">
        <f t="shared" si="8"/>
        <v>0</v>
      </c>
      <c r="W19" s="7" t="str">
        <f t="shared" si="8"/>
        <v>0</v>
      </c>
      <c r="X19" s="7" t="str">
        <f t="shared" si="8"/>
        <v>0</v>
      </c>
      <c r="Y19" s="7" t="str">
        <f t="shared" si="8"/>
        <v>1</v>
      </c>
      <c r="AC19" s="2" t="s">
        <v>52</v>
      </c>
      <c r="AD19" t="s">
        <v>6</v>
      </c>
      <c r="AE19">
        <f>C5</f>
        <v>19217</v>
      </c>
    </row>
    <row r="20" spans="4:33" x14ac:dyDescent="0.3">
      <c r="D20" s="2"/>
      <c r="E20" s="4" t="s">
        <v>53</v>
      </c>
      <c r="F20" s="4" t="s">
        <v>53</v>
      </c>
      <c r="G20" s="6" t="s">
        <v>53</v>
      </c>
      <c r="H20" s="6" t="s">
        <v>53</v>
      </c>
      <c r="I20" s="6" t="s">
        <v>53</v>
      </c>
      <c r="J20" s="6" t="s">
        <v>53</v>
      </c>
      <c r="K20" s="6" t="s">
        <v>53</v>
      </c>
      <c r="L20" s="6" t="s">
        <v>53</v>
      </c>
      <c r="M20" s="6" t="s">
        <v>53</v>
      </c>
      <c r="N20" s="6" t="s">
        <v>53</v>
      </c>
      <c r="O20" s="6" t="s">
        <v>53</v>
      </c>
      <c r="P20" s="6" t="s">
        <v>53</v>
      </c>
      <c r="Q20" s="6" t="s">
        <v>53</v>
      </c>
      <c r="R20" s="6" t="s">
        <v>53</v>
      </c>
      <c r="S20" s="6" t="s">
        <v>53</v>
      </c>
      <c r="T20" s="6" t="s">
        <v>53</v>
      </c>
      <c r="U20" s="6" t="s">
        <v>53</v>
      </c>
      <c r="V20" s="6" t="s">
        <v>53</v>
      </c>
      <c r="W20" s="6" t="s">
        <v>53</v>
      </c>
      <c r="X20" s="6" t="s">
        <v>53</v>
      </c>
      <c r="Y20" s="6" t="s">
        <v>53</v>
      </c>
      <c r="AD20" s="6" t="s">
        <v>53</v>
      </c>
      <c r="AE20" s="6" t="s">
        <v>53</v>
      </c>
      <c r="AF20" s="6"/>
      <c r="AG20" s="6"/>
    </row>
    <row r="21" spans="4:33" x14ac:dyDescent="0.3">
      <c r="D21" s="2"/>
      <c r="F21" s="1"/>
      <c r="G21" s="7">
        <f t="shared" ref="G21:X21" si="9">IF(G19 &lt;&gt; ".", MOD(G17+G18+G19, 2), ".")</f>
        <v>0</v>
      </c>
      <c r="H21" s="7">
        <f t="shared" si="9"/>
        <v>1</v>
      </c>
      <c r="I21" s="7">
        <f t="shared" si="9"/>
        <v>1</v>
      </c>
      <c r="J21" s="7">
        <f t="shared" si="9"/>
        <v>1</v>
      </c>
      <c r="K21" s="7" t="str">
        <f t="shared" si="9"/>
        <v>.</v>
      </c>
      <c r="L21" s="7">
        <f t="shared" si="9"/>
        <v>0</v>
      </c>
      <c r="M21" s="7">
        <f t="shared" si="9"/>
        <v>1</v>
      </c>
      <c r="N21" s="7">
        <f t="shared" si="9"/>
        <v>0</v>
      </c>
      <c r="O21" s="7">
        <f t="shared" si="9"/>
        <v>1</v>
      </c>
      <c r="P21" s="7" t="str">
        <f t="shared" si="9"/>
        <v>.</v>
      </c>
      <c r="Q21" s="7">
        <f t="shared" si="9"/>
        <v>1</v>
      </c>
      <c r="R21" s="7">
        <f t="shared" si="9"/>
        <v>0</v>
      </c>
      <c r="S21" s="7">
        <f t="shared" si="9"/>
        <v>1</v>
      </c>
      <c r="T21" s="7">
        <f t="shared" si="9"/>
        <v>1</v>
      </c>
      <c r="U21" s="7" t="str">
        <f t="shared" si="9"/>
        <v>.</v>
      </c>
      <c r="V21" s="7">
        <f t="shared" si="9"/>
        <v>0</v>
      </c>
      <c r="W21" s="7">
        <f t="shared" si="9"/>
        <v>1</v>
      </c>
      <c r="X21" s="7">
        <f t="shared" si="9"/>
        <v>1</v>
      </c>
      <c r="Y21" s="7">
        <f>IF(Y19 &lt;&gt; ".", MOD(Y17+Y18+Y19, 2), ".")</f>
        <v>1</v>
      </c>
      <c r="AA21" t="s">
        <v>16</v>
      </c>
      <c r="AB21" s="8">
        <f>IF(G21=0,H21*2^14+I21*2^13+J21*2^12+L21*2^11+M21*2^10+N21*2^9+O21*2^8+Q21*2^7+R21*2^6+S21*2^5+T21*2^4+V21*2^3+W21*2^2+X21*2+Y21,"-"&amp;H21*2^14+I21*2^13+J21*2^12+L21*2^11+M21*2^10+N21*2^9+O21*2^8+Q21*2^7+R21*2^6+S21*2^5+T21*2^4+V21*2^3+W21*2^2+X21*2+Y21)</f>
        <v>30135</v>
      </c>
      <c r="AE21">
        <f>AE19+AE18</f>
        <v>30135</v>
      </c>
    </row>
    <row r="22" spans="4:33" x14ac:dyDescent="0.3">
      <c r="D22" s="2"/>
      <c r="F22" s="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4:33" x14ac:dyDescent="0.3">
      <c r="D23" s="2"/>
      <c r="E23" t="s">
        <v>54</v>
      </c>
      <c r="F23" s="1">
        <f>F17</f>
        <v>0</v>
      </c>
      <c r="G23" s="7"/>
      <c r="H23" s="1" t="s">
        <v>55</v>
      </c>
      <c r="I23" s="1">
        <f>IF(MOD(COUNTIF(Q21:Y21, 1), 2)=0, 1, 0)</f>
        <v>1</v>
      </c>
      <c r="J23" s="7"/>
      <c r="K23" s="5" t="s">
        <v>56</v>
      </c>
      <c r="L23" s="5">
        <f>U17</f>
        <v>0</v>
      </c>
      <c r="M23" s="7"/>
      <c r="N23" s="7" t="s">
        <v>57</v>
      </c>
      <c r="O23" s="7">
        <v>0</v>
      </c>
      <c r="P23" s="7"/>
      <c r="Q23" s="1" t="s">
        <v>58</v>
      </c>
      <c r="R23" s="1">
        <f>G21</f>
        <v>0</v>
      </c>
      <c r="S23" s="7"/>
      <c r="T23" s="7" t="s">
        <v>59</v>
      </c>
      <c r="U23" s="7">
        <f>IF(G18=G19, G17, 0)</f>
        <v>0</v>
      </c>
      <c r="V23" s="7"/>
      <c r="W23" s="7"/>
      <c r="X23" s="7"/>
      <c r="Y23" s="7"/>
    </row>
    <row r="24" spans="4:33" x14ac:dyDescent="0.3">
      <c r="D24" s="2"/>
      <c r="F24" s="1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4:33" x14ac:dyDescent="0.3">
      <c r="D25" s="2"/>
      <c r="F25" s="1">
        <f t="shared" ref="F25" si="10">IF(G26 &lt;&gt; ".", IF((G25+G26+G27) &gt;= 2, 1, 0), G25)</f>
        <v>0</v>
      </c>
      <c r="G25" s="5">
        <f t="shared" ref="G25:Y25" si="11">IF(H26 &lt;&gt; ".", IF((H25+H26+H27) &gt;= 2, 1, 0), H25)</f>
        <v>1</v>
      </c>
      <c r="H25" s="5">
        <f t="shared" si="11"/>
        <v>1</v>
      </c>
      <c r="I25" s="5">
        <f t="shared" si="11"/>
        <v>1</v>
      </c>
      <c r="J25" s="5">
        <f t="shared" si="11"/>
        <v>1</v>
      </c>
      <c r="K25" s="5">
        <f t="shared" si="11"/>
        <v>1</v>
      </c>
      <c r="L25" s="5">
        <f t="shared" si="11"/>
        <v>1</v>
      </c>
      <c r="M25" s="5">
        <f t="shared" si="11"/>
        <v>1</v>
      </c>
      <c r="N25" s="5">
        <f t="shared" si="11"/>
        <v>1</v>
      </c>
      <c r="O25" s="5">
        <f t="shared" si="11"/>
        <v>0</v>
      </c>
      <c r="P25" s="5">
        <f t="shared" si="11"/>
        <v>0</v>
      </c>
      <c r="Q25" s="5">
        <f t="shared" si="11"/>
        <v>0</v>
      </c>
      <c r="R25" s="5">
        <f t="shared" si="11"/>
        <v>1</v>
      </c>
      <c r="S25" s="5">
        <f t="shared" si="11"/>
        <v>1</v>
      </c>
      <c r="T25" s="5">
        <f t="shared" si="11"/>
        <v>0</v>
      </c>
      <c r="U25" s="5">
        <f t="shared" si="11"/>
        <v>0</v>
      </c>
      <c r="V25" s="5">
        <f t="shared" si="11"/>
        <v>1</v>
      </c>
      <c r="W25" s="5">
        <f t="shared" si="11"/>
        <v>1</v>
      </c>
      <c r="X25" s="5">
        <f t="shared" si="11"/>
        <v>1</v>
      </c>
      <c r="Y25" s="5">
        <f t="shared" si="11"/>
        <v>0</v>
      </c>
    </row>
    <row r="26" spans="4:33" x14ac:dyDescent="0.3">
      <c r="D26" s="2"/>
      <c r="E26" t="s">
        <v>34</v>
      </c>
      <c r="F26" s="1"/>
      <c r="G26" s="7" t="str">
        <f>G5</f>
        <v>0</v>
      </c>
      <c r="H26" s="7" t="str">
        <f t="shared" ref="H26:Y26" si="12">H5</f>
        <v>1</v>
      </c>
      <c r="I26" s="7" t="str">
        <f t="shared" si="12"/>
        <v>0</v>
      </c>
      <c r="J26" s="7" t="str">
        <f t="shared" si="12"/>
        <v>0</v>
      </c>
      <c r="K26" s="7" t="str">
        <f t="shared" si="12"/>
        <v>.</v>
      </c>
      <c r="L26" s="7" t="str">
        <f t="shared" si="12"/>
        <v>1</v>
      </c>
      <c r="M26" s="7" t="str">
        <f t="shared" si="12"/>
        <v>0</v>
      </c>
      <c r="N26" s="7" t="str">
        <f t="shared" si="12"/>
        <v>1</v>
      </c>
      <c r="O26" s="7" t="str">
        <f t="shared" si="12"/>
        <v>1</v>
      </c>
      <c r="P26" s="7" t="str">
        <f t="shared" si="12"/>
        <v>.</v>
      </c>
      <c r="Q26" s="7" t="str">
        <f t="shared" si="12"/>
        <v>0</v>
      </c>
      <c r="R26" s="7" t="str">
        <f t="shared" si="12"/>
        <v>0</v>
      </c>
      <c r="S26" s="7" t="str">
        <f t="shared" si="12"/>
        <v>0</v>
      </c>
      <c r="T26" s="7" t="str">
        <f t="shared" si="12"/>
        <v>1</v>
      </c>
      <c r="U26" s="7" t="str">
        <f t="shared" si="12"/>
        <v>.</v>
      </c>
      <c r="V26" s="7" t="str">
        <f t="shared" si="12"/>
        <v>0</v>
      </c>
      <c r="W26" s="7" t="str">
        <f t="shared" si="12"/>
        <v>0</v>
      </c>
      <c r="X26" s="7" t="str">
        <f t="shared" si="12"/>
        <v>0</v>
      </c>
      <c r="Y26" s="7" t="str">
        <f t="shared" si="12"/>
        <v>1</v>
      </c>
      <c r="AD26" t="s">
        <v>6</v>
      </c>
      <c r="AE26">
        <f>C5</f>
        <v>19217</v>
      </c>
      <c r="AF26" t="s">
        <v>62</v>
      </c>
    </row>
    <row r="27" spans="4:33" x14ac:dyDescent="0.3">
      <c r="D27" s="2" t="s">
        <v>52</v>
      </c>
      <c r="E27" t="s">
        <v>35</v>
      </c>
      <c r="F27" s="1"/>
      <c r="G27" s="5" t="str">
        <f>G6</f>
        <v>0</v>
      </c>
      <c r="H27" s="5" t="str">
        <f t="shared" ref="H27:Y27" si="13">H6</f>
        <v>1</v>
      </c>
      <c r="I27" s="5" t="str">
        <f t="shared" si="13"/>
        <v>1</v>
      </c>
      <c r="J27" s="5" t="str">
        <f t="shared" si="13"/>
        <v>1</v>
      </c>
      <c r="K27" s="5" t="str">
        <f t="shared" si="13"/>
        <v>.</v>
      </c>
      <c r="L27" s="5" t="str">
        <f t="shared" si="13"/>
        <v>0</v>
      </c>
      <c r="M27" s="5" t="str">
        <f t="shared" si="13"/>
        <v>1</v>
      </c>
      <c r="N27" s="5" t="str">
        <f t="shared" si="13"/>
        <v>0</v>
      </c>
      <c r="O27" s="5" t="str">
        <f t="shared" si="13"/>
        <v>1</v>
      </c>
      <c r="P27" s="5" t="str">
        <f t="shared" si="13"/>
        <v>.</v>
      </c>
      <c r="Q27" s="5" t="str">
        <f t="shared" si="13"/>
        <v>1</v>
      </c>
      <c r="R27" s="5" t="str">
        <f t="shared" si="13"/>
        <v>0</v>
      </c>
      <c r="S27" s="5" t="str">
        <f t="shared" si="13"/>
        <v>1</v>
      </c>
      <c r="T27" s="5" t="str">
        <f t="shared" si="13"/>
        <v>1</v>
      </c>
      <c r="U27" s="5" t="str">
        <f t="shared" si="13"/>
        <v>.</v>
      </c>
      <c r="V27" s="5" t="str">
        <f t="shared" si="13"/>
        <v>0</v>
      </c>
      <c r="W27" s="5" t="str">
        <f t="shared" si="13"/>
        <v>1</v>
      </c>
      <c r="X27" s="5" t="str">
        <f t="shared" si="13"/>
        <v>1</v>
      </c>
      <c r="Y27" s="5" t="str">
        <f t="shared" si="13"/>
        <v>1</v>
      </c>
      <c r="AC27" s="2" t="s">
        <v>52</v>
      </c>
      <c r="AD27" t="s">
        <v>7</v>
      </c>
      <c r="AE27">
        <f>C6</f>
        <v>30135</v>
      </c>
    </row>
    <row r="28" spans="4:33" x14ac:dyDescent="0.3">
      <c r="D28" s="2"/>
      <c r="E28" s="4" t="s">
        <v>53</v>
      </c>
      <c r="F28" s="4" t="s">
        <v>53</v>
      </c>
      <c r="G28" s="6" t="s">
        <v>53</v>
      </c>
      <c r="H28" s="6" t="s">
        <v>53</v>
      </c>
      <c r="I28" s="6" t="s">
        <v>53</v>
      </c>
      <c r="J28" s="6" t="s">
        <v>53</v>
      </c>
      <c r="K28" s="6" t="s">
        <v>53</v>
      </c>
      <c r="L28" s="6" t="s">
        <v>53</v>
      </c>
      <c r="M28" s="6" t="s">
        <v>53</v>
      </c>
      <c r="N28" s="6" t="s">
        <v>53</v>
      </c>
      <c r="O28" s="6" t="s">
        <v>53</v>
      </c>
      <c r="P28" s="6" t="s">
        <v>53</v>
      </c>
      <c r="Q28" s="6" t="s">
        <v>53</v>
      </c>
      <c r="R28" s="6" t="s">
        <v>53</v>
      </c>
      <c r="S28" s="6" t="s">
        <v>53</v>
      </c>
      <c r="T28" s="6" t="s">
        <v>53</v>
      </c>
      <c r="U28" s="6" t="s">
        <v>53</v>
      </c>
      <c r="V28" s="6" t="s">
        <v>53</v>
      </c>
      <c r="W28" s="6" t="s">
        <v>53</v>
      </c>
      <c r="X28" s="6" t="s">
        <v>53</v>
      </c>
      <c r="Y28" s="6" t="s">
        <v>53</v>
      </c>
      <c r="AD28" s="6" t="s">
        <v>53</v>
      </c>
      <c r="AE28" s="6" t="s">
        <v>53</v>
      </c>
    </row>
    <row r="29" spans="4:33" x14ac:dyDescent="0.3">
      <c r="D29" s="2"/>
      <c r="F29" s="1"/>
      <c r="G29" s="5">
        <f t="shared" ref="G29:Y29" si="14">IF(G27 &lt;&gt; ".", MOD(G25+G26+G27, 2), ".")</f>
        <v>1</v>
      </c>
      <c r="H29" s="5">
        <f t="shared" si="14"/>
        <v>1</v>
      </c>
      <c r="I29" s="5">
        <f t="shared" si="14"/>
        <v>0</v>
      </c>
      <c r="J29" s="5">
        <f t="shared" si="14"/>
        <v>0</v>
      </c>
      <c r="K29" s="5" t="str">
        <f t="shared" si="14"/>
        <v>.</v>
      </c>
      <c r="L29" s="5">
        <f t="shared" si="14"/>
        <v>0</v>
      </c>
      <c r="M29" s="5">
        <f t="shared" si="14"/>
        <v>0</v>
      </c>
      <c r="N29" s="5">
        <f t="shared" si="14"/>
        <v>0</v>
      </c>
      <c r="O29" s="5">
        <f t="shared" si="14"/>
        <v>0</v>
      </c>
      <c r="P29" s="5" t="str">
        <f t="shared" si="14"/>
        <v>.</v>
      </c>
      <c r="Q29" s="5">
        <f t="shared" si="14"/>
        <v>1</v>
      </c>
      <c r="R29" s="5">
        <f t="shared" si="14"/>
        <v>1</v>
      </c>
      <c r="S29" s="5">
        <f t="shared" si="14"/>
        <v>0</v>
      </c>
      <c r="T29" s="5">
        <f t="shared" si="14"/>
        <v>0</v>
      </c>
      <c r="U29" s="5" t="str">
        <f t="shared" si="14"/>
        <v>.</v>
      </c>
      <c r="V29" s="5">
        <f t="shared" si="14"/>
        <v>1</v>
      </c>
      <c r="W29" s="5">
        <f t="shared" si="14"/>
        <v>0</v>
      </c>
      <c r="X29" s="5">
        <f t="shared" si="14"/>
        <v>0</v>
      </c>
      <c r="Y29" s="5">
        <f t="shared" si="14"/>
        <v>0</v>
      </c>
      <c r="AA29" t="s">
        <v>16</v>
      </c>
      <c r="AB29" s="8" t="str">
        <f>IF(G29=0,H29*2^14+I29*2^13+J29*2^12+L29*2^11+M29*2^10+N29*2^9+O29*2^8+Q29*2^7+R29*2^6+S29*2^5+T29*2^4+V29*2^3+W29*2^2+X29*2+Y29,"-"&amp;H29*2^14+I29*2^13+J29*2^12+L29*2^11+M29*2^10+N29*2^9+O29*2^8+Q29*2^7+R29*2^6+S29*2^5+T29*2^4+V29*2^3+W29*2^2+X29*2+Y29)</f>
        <v>-16584</v>
      </c>
      <c r="AE29">
        <f>AE27+AE26</f>
        <v>49352</v>
      </c>
    </row>
    <row r="30" spans="4:33" x14ac:dyDescent="0.3">
      <c r="D30" s="2"/>
      <c r="F30" s="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4:33" x14ac:dyDescent="0.3">
      <c r="D31" s="2"/>
      <c r="E31" t="s">
        <v>54</v>
      </c>
      <c r="F31" s="1">
        <f>F25</f>
        <v>0</v>
      </c>
      <c r="G31" s="5"/>
      <c r="H31" s="1" t="s">
        <v>55</v>
      </c>
      <c r="I31" s="1">
        <f>IF(MOD(COUNTIF(Q29:Y29, 1), 2)=0, 1, 0)</f>
        <v>0</v>
      </c>
      <c r="J31" s="5"/>
      <c r="K31" s="5" t="s">
        <v>56</v>
      </c>
      <c r="L31" s="5">
        <f>U25</f>
        <v>0</v>
      </c>
      <c r="M31" s="5"/>
      <c r="N31" s="7" t="s">
        <v>57</v>
      </c>
      <c r="O31" s="7">
        <v>0</v>
      </c>
      <c r="P31" s="5"/>
      <c r="Q31" s="1" t="s">
        <v>58</v>
      </c>
      <c r="R31" s="1">
        <f>G29</f>
        <v>1</v>
      </c>
      <c r="S31" s="5"/>
      <c r="T31" s="7" t="s">
        <v>59</v>
      </c>
      <c r="U31" s="7">
        <f>IF(G26=G27, G25, 0)</f>
        <v>1</v>
      </c>
      <c r="V31" s="5"/>
      <c r="W31" s="5"/>
      <c r="X31" s="5"/>
      <c r="Y31" s="5"/>
    </row>
    <row r="32" spans="4:33" x14ac:dyDescent="0.3">
      <c r="D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4:32" x14ac:dyDescent="0.3">
      <c r="D33" s="2"/>
      <c r="F33" s="1">
        <f t="shared" ref="F33:Y33" si="15">IF(G34 &lt;&gt; ".", IF((G33+G34+G35) &gt;= 2, 1, 0), G33)</f>
        <v>1</v>
      </c>
      <c r="G33" s="1">
        <f t="shared" si="15"/>
        <v>1</v>
      </c>
      <c r="H33" s="1">
        <f t="shared" si="15"/>
        <v>0</v>
      </c>
      <c r="I33" s="1">
        <f t="shared" si="15"/>
        <v>1</v>
      </c>
      <c r="J33" s="1">
        <f t="shared" si="15"/>
        <v>1</v>
      </c>
      <c r="K33" s="1">
        <f t="shared" si="15"/>
        <v>1</v>
      </c>
      <c r="L33" s="1">
        <f t="shared" si="15"/>
        <v>1</v>
      </c>
      <c r="M33" s="1">
        <f t="shared" si="15"/>
        <v>1</v>
      </c>
      <c r="N33" s="1">
        <f t="shared" si="15"/>
        <v>1</v>
      </c>
      <c r="O33" s="1">
        <f t="shared" si="15"/>
        <v>0</v>
      </c>
      <c r="P33" s="1">
        <f t="shared" si="15"/>
        <v>0</v>
      </c>
      <c r="Q33" s="1">
        <f t="shared" si="15"/>
        <v>0</v>
      </c>
      <c r="R33" s="1">
        <f t="shared" si="15"/>
        <v>0</v>
      </c>
      <c r="S33" s="1">
        <f t="shared" si="15"/>
        <v>1</v>
      </c>
      <c r="T33" s="1">
        <f t="shared" si="15"/>
        <v>0</v>
      </c>
      <c r="U33" s="1">
        <f t="shared" si="15"/>
        <v>0</v>
      </c>
      <c r="V33" s="1">
        <f t="shared" si="15"/>
        <v>0</v>
      </c>
      <c r="W33" s="1">
        <f t="shared" si="15"/>
        <v>0</v>
      </c>
      <c r="X33" s="1">
        <f t="shared" si="15"/>
        <v>0</v>
      </c>
      <c r="Y33" s="1">
        <f t="shared" si="15"/>
        <v>0</v>
      </c>
    </row>
    <row r="34" spans="4:32" x14ac:dyDescent="0.3">
      <c r="D34" s="2"/>
      <c r="E34" t="s">
        <v>34</v>
      </c>
      <c r="F34" s="1"/>
      <c r="G34" s="3" t="str">
        <f>G5</f>
        <v>0</v>
      </c>
      <c r="H34" s="3" t="str">
        <f t="shared" ref="H34:Y34" si="16">H5</f>
        <v>1</v>
      </c>
      <c r="I34" s="3" t="str">
        <f t="shared" si="16"/>
        <v>0</v>
      </c>
      <c r="J34" s="3" t="str">
        <f t="shared" si="16"/>
        <v>0</v>
      </c>
      <c r="K34" s="3" t="str">
        <f t="shared" si="16"/>
        <v>.</v>
      </c>
      <c r="L34" s="3" t="str">
        <f t="shared" si="16"/>
        <v>1</v>
      </c>
      <c r="M34" s="3" t="str">
        <f t="shared" si="16"/>
        <v>0</v>
      </c>
      <c r="N34" s="3" t="str">
        <f t="shared" si="16"/>
        <v>1</v>
      </c>
      <c r="O34" s="3" t="str">
        <f t="shared" si="16"/>
        <v>1</v>
      </c>
      <c r="P34" s="3" t="str">
        <f t="shared" si="16"/>
        <v>.</v>
      </c>
      <c r="Q34" s="3" t="str">
        <f t="shared" si="16"/>
        <v>0</v>
      </c>
      <c r="R34" s="3" t="str">
        <f t="shared" si="16"/>
        <v>0</v>
      </c>
      <c r="S34" s="3" t="str">
        <f t="shared" si="16"/>
        <v>0</v>
      </c>
      <c r="T34" s="3" t="str">
        <f t="shared" si="16"/>
        <v>1</v>
      </c>
      <c r="U34" s="3" t="str">
        <f t="shared" si="16"/>
        <v>.</v>
      </c>
      <c r="V34" s="3" t="str">
        <f t="shared" si="16"/>
        <v>0</v>
      </c>
      <c r="W34" s="3" t="str">
        <f t="shared" si="16"/>
        <v>0</v>
      </c>
      <c r="X34" s="3" t="str">
        <f t="shared" si="16"/>
        <v>0</v>
      </c>
      <c r="Y34" s="3" t="str">
        <f t="shared" si="16"/>
        <v>1</v>
      </c>
      <c r="AD34" t="s">
        <v>6</v>
      </c>
      <c r="AE34">
        <f>C5</f>
        <v>19217</v>
      </c>
      <c r="AF34" t="s">
        <v>63</v>
      </c>
    </row>
    <row r="35" spans="4:32" x14ac:dyDescent="0.3">
      <c r="D35" s="2" t="s">
        <v>52</v>
      </c>
      <c r="E35" t="s">
        <v>36</v>
      </c>
      <c r="F35" s="1"/>
      <c r="G35" s="1" t="str">
        <f>G10</f>
        <v>1</v>
      </c>
      <c r="H35" s="1" t="str">
        <f t="shared" ref="H35:Y35" si="17">H10</f>
        <v>1</v>
      </c>
      <c r="I35" s="1" t="str">
        <f t="shared" si="17"/>
        <v>0</v>
      </c>
      <c r="J35" s="1" t="str">
        <f t="shared" si="17"/>
        <v>1</v>
      </c>
      <c r="K35" s="1" t="str">
        <f t="shared" si="17"/>
        <v>.</v>
      </c>
      <c r="L35" s="1" t="str">
        <f t="shared" si="17"/>
        <v>0</v>
      </c>
      <c r="M35" s="1" t="str">
        <f t="shared" si="17"/>
        <v>1</v>
      </c>
      <c r="N35" s="1" t="str">
        <f t="shared" si="17"/>
        <v>0</v>
      </c>
      <c r="O35" s="1" t="str">
        <f t="shared" si="17"/>
        <v>1</v>
      </c>
      <c r="P35" s="1" t="str">
        <f t="shared" si="17"/>
        <v>.</v>
      </c>
      <c r="Q35" s="1" t="str">
        <f t="shared" si="17"/>
        <v>0</v>
      </c>
      <c r="R35" s="1" t="str">
        <f t="shared" si="17"/>
        <v>1</v>
      </c>
      <c r="S35" s="1" t="str">
        <f t="shared" si="17"/>
        <v>0</v>
      </c>
      <c r="T35" s="1" t="str">
        <f t="shared" si="17"/>
        <v>1</v>
      </c>
      <c r="U35" s="1" t="str">
        <f t="shared" si="17"/>
        <v>.</v>
      </c>
      <c r="V35" s="1" t="str">
        <f t="shared" si="17"/>
        <v>1</v>
      </c>
      <c r="W35" s="1" t="str">
        <f t="shared" si="17"/>
        <v>0</v>
      </c>
      <c r="X35" s="1" t="str">
        <f t="shared" si="17"/>
        <v>1</v>
      </c>
      <c r="Y35" s="1" t="str">
        <f t="shared" si="17"/>
        <v>0</v>
      </c>
      <c r="AC35" s="2" t="s">
        <v>52</v>
      </c>
      <c r="AD35" t="s">
        <v>8</v>
      </c>
      <c r="AE35">
        <f>C10</f>
        <v>-10918</v>
      </c>
    </row>
    <row r="36" spans="4:32" x14ac:dyDescent="0.3">
      <c r="D36" s="2"/>
      <c r="E36" s="4" t="s">
        <v>53</v>
      </c>
      <c r="F36" s="4" t="s">
        <v>53</v>
      </c>
      <c r="G36" s="6" t="s">
        <v>53</v>
      </c>
      <c r="H36" s="6" t="s">
        <v>53</v>
      </c>
      <c r="I36" s="6" t="s">
        <v>53</v>
      </c>
      <c r="J36" s="6" t="s">
        <v>53</v>
      </c>
      <c r="K36" s="6" t="s">
        <v>53</v>
      </c>
      <c r="L36" s="6" t="s">
        <v>53</v>
      </c>
      <c r="M36" s="6" t="s">
        <v>53</v>
      </c>
      <c r="N36" s="6" t="s">
        <v>53</v>
      </c>
      <c r="O36" s="6" t="s">
        <v>53</v>
      </c>
      <c r="P36" s="6" t="s">
        <v>53</v>
      </c>
      <c r="Q36" s="6" t="s">
        <v>53</v>
      </c>
      <c r="R36" s="6" t="s">
        <v>53</v>
      </c>
      <c r="S36" s="6" t="s">
        <v>53</v>
      </c>
      <c r="T36" s="6" t="s">
        <v>53</v>
      </c>
      <c r="U36" s="6" t="s">
        <v>53</v>
      </c>
      <c r="V36" s="6" t="s">
        <v>53</v>
      </c>
      <c r="W36" s="6" t="s">
        <v>53</v>
      </c>
      <c r="X36" s="6" t="s">
        <v>53</v>
      </c>
      <c r="Y36" s="6" t="s">
        <v>53</v>
      </c>
      <c r="AD36" s="6" t="s">
        <v>53</v>
      </c>
      <c r="AE36" s="6" t="s">
        <v>53</v>
      </c>
    </row>
    <row r="37" spans="4:32" x14ac:dyDescent="0.3">
      <c r="D37" s="2"/>
      <c r="F37" s="1"/>
      <c r="G37" s="1">
        <f t="shared" ref="G37:Y37" si="18">IF(G35 &lt;&gt; ".", MOD(G33+G34+G35, 2), ".")</f>
        <v>0</v>
      </c>
      <c r="H37" s="1">
        <f t="shared" si="18"/>
        <v>0</v>
      </c>
      <c r="I37" s="1">
        <f t="shared" si="18"/>
        <v>1</v>
      </c>
      <c r="J37" s="1">
        <f t="shared" si="18"/>
        <v>0</v>
      </c>
      <c r="K37" s="1" t="str">
        <f t="shared" si="18"/>
        <v>.</v>
      </c>
      <c r="L37" s="1">
        <f t="shared" si="18"/>
        <v>0</v>
      </c>
      <c r="M37" s="1">
        <f t="shared" si="18"/>
        <v>0</v>
      </c>
      <c r="N37" s="1">
        <f t="shared" si="18"/>
        <v>0</v>
      </c>
      <c r="O37" s="1">
        <f t="shared" si="18"/>
        <v>0</v>
      </c>
      <c r="P37" s="1" t="str">
        <f t="shared" si="18"/>
        <v>.</v>
      </c>
      <c r="Q37" s="1">
        <f t="shared" si="18"/>
        <v>0</v>
      </c>
      <c r="R37" s="1">
        <f t="shared" si="18"/>
        <v>1</v>
      </c>
      <c r="S37" s="1">
        <f t="shared" si="18"/>
        <v>1</v>
      </c>
      <c r="T37" s="1">
        <f t="shared" si="18"/>
        <v>0</v>
      </c>
      <c r="U37" s="1" t="str">
        <f t="shared" si="18"/>
        <v>.</v>
      </c>
      <c r="V37" s="1">
        <f t="shared" si="18"/>
        <v>1</v>
      </c>
      <c r="W37" s="1">
        <f t="shared" si="18"/>
        <v>0</v>
      </c>
      <c r="X37" s="1">
        <f t="shared" si="18"/>
        <v>1</v>
      </c>
      <c r="Y37" s="1">
        <f t="shared" si="18"/>
        <v>1</v>
      </c>
      <c r="AA37" t="s">
        <v>16</v>
      </c>
      <c r="AB37" s="8">
        <f>IF(G37=0,H37*2^14+I37*2^13+J37*2^12+L37*2^11+M37*2^10+N37*2^9+O37*2^8+Q37*2^7+R37*2^6+S37*2^5+T37*2^4+V37*2^3+W37*2^2+X37*2+Y37,"-"&amp;H37*2^14+I37*2^13+J37*2^12+L37*2^11+M37*2^10+N37*2^9+O37*2^8+Q37*2^7+R37*2^6+S37*2^5+T37*2^4+V37*2^3+W37*2^2+X37*2+Y37)</f>
        <v>8299</v>
      </c>
      <c r="AE37">
        <f>AE34+AE35</f>
        <v>8299</v>
      </c>
    </row>
    <row r="38" spans="4:32" x14ac:dyDescent="0.3">
      <c r="D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4:32" x14ac:dyDescent="0.3">
      <c r="D39" s="2"/>
      <c r="E39" t="s">
        <v>54</v>
      </c>
      <c r="F39" s="1">
        <f>F33</f>
        <v>1</v>
      </c>
      <c r="G39" s="1"/>
      <c r="H39" s="1" t="s">
        <v>55</v>
      </c>
      <c r="I39" s="1">
        <f>IF(MOD(COUNTIF(Q37:Y37, 1), 2)=0, 1, 0)</f>
        <v>0</v>
      </c>
      <c r="J39" s="1"/>
      <c r="K39" s="5" t="s">
        <v>56</v>
      </c>
      <c r="L39" s="5">
        <f>U33</f>
        <v>0</v>
      </c>
      <c r="M39" s="1"/>
      <c r="N39" s="7" t="s">
        <v>57</v>
      </c>
      <c r="O39" s="7">
        <v>0</v>
      </c>
      <c r="P39" s="1"/>
      <c r="Q39" s="1" t="s">
        <v>58</v>
      </c>
      <c r="R39" s="1">
        <f>G37</f>
        <v>0</v>
      </c>
      <c r="S39" s="1"/>
      <c r="T39" s="7" t="s">
        <v>59</v>
      </c>
      <c r="U39" s="7">
        <f>IF(G34=G35, G33, 0)</f>
        <v>0</v>
      </c>
      <c r="V39" s="1"/>
      <c r="W39" s="1"/>
      <c r="X39" s="1"/>
      <c r="Y39" s="1"/>
    </row>
    <row r="40" spans="4:32" x14ac:dyDescent="0.3">
      <c r="D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4:32" x14ac:dyDescent="0.3">
      <c r="D41" s="2"/>
      <c r="F41" s="1">
        <f t="shared" ref="F41:Y41" si="19">IF(G42 &lt;&gt; ".", IF((G41+G42+G43) &gt;= 2, 1, 0), G41)</f>
        <v>1</v>
      </c>
      <c r="G41" s="1">
        <f t="shared" si="19"/>
        <v>1</v>
      </c>
      <c r="H41" s="1">
        <f t="shared" si="19"/>
        <v>1</v>
      </c>
      <c r="I41" s="1">
        <f t="shared" si="19"/>
        <v>1</v>
      </c>
      <c r="J41" s="1">
        <f t="shared" si="19"/>
        <v>0</v>
      </c>
      <c r="K41" s="1">
        <f t="shared" si="19"/>
        <v>0</v>
      </c>
      <c r="L41" s="1">
        <f t="shared" si="19"/>
        <v>1</v>
      </c>
      <c r="M41" s="1">
        <f t="shared" si="19"/>
        <v>0</v>
      </c>
      <c r="N41" s="1">
        <f t="shared" si="19"/>
        <v>1</v>
      </c>
      <c r="O41" s="1">
        <f t="shared" si="19"/>
        <v>1</v>
      </c>
      <c r="P41" s="1">
        <f t="shared" si="19"/>
        <v>1</v>
      </c>
      <c r="Q41" s="1">
        <f t="shared" si="19"/>
        <v>1</v>
      </c>
      <c r="R41" s="1">
        <f t="shared" si="19"/>
        <v>1</v>
      </c>
      <c r="S41" s="1">
        <f t="shared" si="19"/>
        <v>1</v>
      </c>
      <c r="T41" s="1">
        <f t="shared" si="19"/>
        <v>1</v>
      </c>
      <c r="U41" s="1">
        <f t="shared" si="19"/>
        <v>1</v>
      </c>
      <c r="V41" s="1">
        <f t="shared" si="19"/>
        <v>1</v>
      </c>
      <c r="W41" s="1">
        <f t="shared" si="19"/>
        <v>1</v>
      </c>
      <c r="X41" s="1">
        <f t="shared" si="19"/>
        <v>0</v>
      </c>
      <c r="Y41" s="1">
        <f t="shared" si="19"/>
        <v>0</v>
      </c>
    </row>
    <row r="42" spans="4:32" x14ac:dyDescent="0.3">
      <c r="D42" s="2"/>
      <c r="E42" t="s">
        <v>36</v>
      </c>
      <c r="F42" s="1"/>
      <c r="G42" s="1" t="str">
        <f>G10</f>
        <v>1</v>
      </c>
      <c r="H42" s="1" t="str">
        <f t="shared" ref="H42:Y42" si="20">H10</f>
        <v>1</v>
      </c>
      <c r="I42" s="1" t="str">
        <f t="shared" si="20"/>
        <v>0</v>
      </c>
      <c r="J42" s="1" t="str">
        <f t="shared" si="20"/>
        <v>1</v>
      </c>
      <c r="K42" s="1" t="str">
        <f t="shared" si="20"/>
        <v>.</v>
      </c>
      <c r="L42" s="1" t="str">
        <f t="shared" si="20"/>
        <v>0</v>
      </c>
      <c r="M42" s="1" t="str">
        <f t="shared" si="20"/>
        <v>1</v>
      </c>
      <c r="N42" s="1" t="str">
        <f t="shared" si="20"/>
        <v>0</v>
      </c>
      <c r="O42" s="1" t="str">
        <f t="shared" si="20"/>
        <v>1</v>
      </c>
      <c r="P42" s="1" t="str">
        <f t="shared" si="20"/>
        <v>.</v>
      </c>
      <c r="Q42" s="1" t="str">
        <f t="shared" si="20"/>
        <v>0</v>
      </c>
      <c r="R42" s="1" t="str">
        <f t="shared" si="20"/>
        <v>1</v>
      </c>
      <c r="S42" s="1" t="str">
        <f t="shared" si="20"/>
        <v>0</v>
      </c>
      <c r="T42" s="1" t="str">
        <f t="shared" si="20"/>
        <v>1</v>
      </c>
      <c r="U42" s="1" t="str">
        <f t="shared" si="20"/>
        <v>.</v>
      </c>
      <c r="V42" s="1" t="str">
        <f t="shared" si="20"/>
        <v>1</v>
      </c>
      <c r="W42" s="1" t="str">
        <f t="shared" si="20"/>
        <v>0</v>
      </c>
      <c r="X42" s="1" t="str">
        <f t="shared" si="20"/>
        <v>1</v>
      </c>
      <c r="Y42" s="1" t="str">
        <f t="shared" si="20"/>
        <v>0</v>
      </c>
      <c r="AD42" t="s">
        <v>8</v>
      </c>
      <c r="AE42">
        <f>C10</f>
        <v>-10918</v>
      </c>
      <c r="AF42" t="s">
        <v>65</v>
      </c>
    </row>
    <row r="43" spans="4:32" x14ac:dyDescent="0.3">
      <c r="D43" s="2" t="s">
        <v>52</v>
      </c>
      <c r="E43" t="s">
        <v>37</v>
      </c>
      <c r="F43" s="1"/>
      <c r="G43" s="1" t="str">
        <f>G11</f>
        <v>1</v>
      </c>
      <c r="H43" s="1" t="str">
        <f t="shared" ref="H43:Y43" si="21">H11</f>
        <v>0</v>
      </c>
      <c r="I43" s="1" t="str">
        <f t="shared" si="21"/>
        <v>1</v>
      </c>
      <c r="J43" s="1" t="str">
        <f t="shared" si="21"/>
        <v>1</v>
      </c>
      <c r="K43" s="1" t="str">
        <f t="shared" si="21"/>
        <v>.</v>
      </c>
      <c r="L43" s="1" t="str">
        <f t="shared" si="21"/>
        <v>0</v>
      </c>
      <c r="M43" s="1" t="str">
        <f t="shared" si="21"/>
        <v>1</v>
      </c>
      <c r="N43" s="1" t="str">
        <f t="shared" si="21"/>
        <v>0</v>
      </c>
      <c r="O43" s="1" t="str">
        <f t="shared" si="21"/>
        <v>0</v>
      </c>
      <c r="P43" s="1" t="str">
        <f t="shared" si="21"/>
        <v>.</v>
      </c>
      <c r="Q43" s="1" t="str">
        <f t="shared" si="21"/>
        <v>1</v>
      </c>
      <c r="R43" s="1" t="str">
        <f t="shared" si="21"/>
        <v>1</v>
      </c>
      <c r="S43" s="1" t="str">
        <f t="shared" si="21"/>
        <v>1</v>
      </c>
      <c r="T43" s="1" t="str">
        <f t="shared" si="21"/>
        <v>0</v>
      </c>
      <c r="U43" s="1" t="str">
        <f t="shared" si="21"/>
        <v>.</v>
      </c>
      <c r="V43" s="1" t="str">
        <f t="shared" si="21"/>
        <v>1</v>
      </c>
      <c r="W43" s="1" t="str">
        <f t="shared" si="21"/>
        <v>1</v>
      </c>
      <c r="X43" s="1" t="str">
        <f t="shared" si="21"/>
        <v>1</v>
      </c>
      <c r="Y43" s="1" t="str">
        <f t="shared" si="21"/>
        <v>1</v>
      </c>
      <c r="AC43" s="2" t="s">
        <v>52</v>
      </c>
      <c r="AD43" t="s">
        <v>9</v>
      </c>
      <c r="AE43">
        <f>C11</f>
        <v>-19217</v>
      </c>
    </row>
    <row r="44" spans="4:32" x14ac:dyDescent="0.3">
      <c r="D44" s="2"/>
      <c r="E44" s="4" t="s">
        <v>53</v>
      </c>
      <c r="F44" s="4" t="s">
        <v>53</v>
      </c>
      <c r="G44" s="6" t="s">
        <v>53</v>
      </c>
      <c r="H44" s="6" t="s">
        <v>53</v>
      </c>
      <c r="I44" s="6" t="s">
        <v>53</v>
      </c>
      <c r="J44" s="6" t="s">
        <v>53</v>
      </c>
      <c r="K44" s="6" t="s">
        <v>53</v>
      </c>
      <c r="L44" s="6" t="s">
        <v>53</v>
      </c>
      <c r="M44" s="6" t="s">
        <v>53</v>
      </c>
      <c r="N44" s="6" t="s">
        <v>53</v>
      </c>
      <c r="O44" s="6" t="s">
        <v>53</v>
      </c>
      <c r="P44" s="6" t="s">
        <v>53</v>
      </c>
      <c r="Q44" s="6" t="s">
        <v>53</v>
      </c>
      <c r="R44" s="6" t="s">
        <v>53</v>
      </c>
      <c r="S44" s="6" t="s">
        <v>53</v>
      </c>
      <c r="T44" s="6" t="s">
        <v>53</v>
      </c>
      <c r="U44" s="6" t="s">
        <v>53</v>
      </c>
      <c r="V44" s="6" t="s">
        <v>53</v>
      </c>
      <c r="W44" s="6" t="s">
        <v>53</v>
      </c>
      <c r="X44" s="6" t="s">
        <v>53</v>
      </c>
      <c r="Y44" s="6" t="s">
        <v>53</v>
      </c>
      <c r="AD44" s="6" t="s">
        <v>53</v>
      </c>
      <c r="AE44" s="6" t="s">
        <v>53</v>
      </c>
    </row>
    <row r="45" spans="4:32" x14ac:dyDescent="0.3">
      <c r="D45" s="2"/>
      <c r="F45" s="1"/>
      <c r="G45" s="1">
        <f t="shared" ref="G45:Y45" si="22">IF(G42 &lt;&gt; ".", MOD(G40+G41+G42, 2), ".")</f>
        <v>0</v>
      </c>
      <c r="H45" s="1">
        <f t="shared" si="22"/>
        <v>0</v>
      </c>
      <c r="I45" s="1">
        <f t="shared" si="22"/>
        <v>1</v>
      </c>
      <c r="J45" s="1">
        <f t="shared" si="22"/>
        <v>1</v>
      </c>
      <c r="K45" s="1" t="str">
        <f t="shared" si="22"/>
        <v>.</v>
      </c>
      <c r="L45" s="1">
        <f t="shared" si="22"/>
        <v>1</v>
      </c>
      <c r="M45" s="1">
        <f t="shared" si="22"/>
        <v>1</v>
      </c>
      <c r="N45" s="1">
        <f t="shared" si="22"/>
        <v>1</v>
      </c>
      <c r="O45" s="1">
        <f t="shared" si="22"/>
        <v>0</v>
      </c>
      <c r="P45" s="1" t="str">
        <f t="shared" si="22"/>
        <v>.</v>
      </c>
      <c r="Q45" s="1">
        <f t="shared" si="22"/>
        <v>1</v>
      </c>
      <c r="R45" s="1">
        <f t="shared" si="22"/>
        <v>0</v>
      </c>
      <c r="S45" s="1">
        <f t="shared" si="22"/>
        <v>1</v>
      </c>
      <c r="T45" s="1">
        <f t="shared" si="22"/>
        <v>0</v>
      </c>
      <c r="U45" s="1" t="str">
        <f t="shared" si="22"/>
        <v>.</v>
      </c>
      <c r="V45" s="1">
        <f t="shared" si="22"/>
        <v>0</v>
      </c>
      <c r="W45" s="1">
        <f t="shared" si="22"/>
        <v>1</v>
      </c>
      <c r="X45" s="1">
        <f t="shared" si="22"/>
        <v>1</v>
      </c>
      <c r="Y45" s="1">
        <f t="shared" si="22"/>
        <v>0</v>
      </c>
      <c r="AA45" t="s">
        <v>16</v>
      </c>
      <c r="AB45" s="8">
        <f>IF(G45=0,H45*2^14+I45*2^13+J45*2^12+L45*2^11+M45*2^10+N45*2^9+O45*2^8+Q45*2^7+R45*2^6+S45*2^5+T45*2^4+V45*2^3+W45*2^2+X45*2+Y45,"-"&amp;H45*2^14+I45*2^13+J45*2^12+L45*2^11+M45*2^10+N45*2^9+O45*2^8+Q45*2^7+R45*2^6+S45*2^5+T45*2^4+V45*2^3+W45*2^2+X45*2+Y45)</f>
        <v>16038</v>
      </c>
      <c r="AE45">
        <f>AE43+AE42</f>
        <v>-30135</v>
      </c>
    </row>
    <row r="46" spans="4:32" x14ac:dyDescent="0.3">
      <c r="D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4:32" x14ac:dyDescent="0.3">
      <c r="D47" s="2"/>
      <c r="E47" t="s">
        <v>54</v>
      </c>
      <c r="F47" s="1">
        <f>F41</f>
        <v>1</v>
      </c>
      <c r="G47" s="1"/>
      <c r="H47" s="1" t="s">
        <v>55</v>
      </c>
      <c r="I47" s="1">
        <f>IF(MOD(COUNTIF(Q45:Y45, 1), 2)=0, 1, 0)</f>
        <v>1</v>
      </c>
      <c r="J47" s="1"/>
      <c r="K47" s="5" t="s">
        <v>56</v>
      </c>
      <c r="L47" s="5">
        <f>U41</f>
        <v>1</v>
      </c>
      <c r="M47" s="1"/>
      <c r="N47" s="7" t="s">
        <v>57</v>
      </c>
      <c r="O47" s="7">
        <v>0</v>
      </c>
      <c r="P47" s="1"/>
      <c r="Q47" s="1" t="s">
        <v>58</v>
      </c>
      <c r="R47" s="1">
        <f>G45</f>
        <v>0</v>
      </c>
      <c r="S47" s="1"/>
      <c r="T47" s="7" t="s">
        <v>59</v>
      </c>
      <c r="U47" s="7">
        <f>IF(G42=G43, G41, 0)</f>
        <v>1</v>
      </c>
      <c r="V47" s="1"/>
      <c r="W47" s="1"/>
      <c r="X47" s="1"/>
      <c r="Y47" s="1"/>
    </row>
    <row r="48" spans="4:32" x14ac:dyDescent="0.3">
      <c r="D48" s="2"/>
    </row>
    <row r="49" spans="4:32" x14ac:dyDescent="0.3">
      <c r="D49" s="2"/>
      <c r="F49" s="1">
        <f t="shared" ref="F49:Y49" si="23">IF(G50 &lt;&gt; ".", IF((G49+G50+G51) &gt;= 2, 1, 0), G49)</f>
        <v>1</v>
      </c>
      <c r="G49" s="1">
        <f t="shared" si="23"/>
        <v>0</v>
      </c>
      <c r="H49" s="1">
        <f t="shared" si="23"/>
        <v>0</v>
      </c>
      <c r="I49" s="1">
        <f t="shared" si="23"/>
        <v>0</v>
      </c>
      <c r="J49" s="1">
        <f t="shared" si="23"/>
        <v>0</v>
      </c>
      <c r="K49" s="1">
        <f t="shared" si="23"/>
        <v>0</v>
      </c>
      <c r="L49" s="1">
        <f t="shared" si="23"/>
        <v>0</v>
      </c>
      <c r="M49" s="1">
        <f t="shared" si="23"/>
        <v>0</v>
      </c>
      <c r="N49" s="1">
        <f t="shared" si="23"/>
        <v>0</v>
      </c>
      <c r="O49" s="1">
        <f t="shared" si="23"/>
        <v>1</v>
      </c>
      <c r="P49" s="1">
        <f t="shared" si="23"/>
        <v>1</v>
      </c>
      <c r="Q49" s="1">
        <f t="shared" si="23"/>
        <v>1</v>
      </c>
      <c r="R49" s="1">
        <f t="shared" si="23"/>
        <v>0</v>
      </c>
      <c r="S49" s="1">
        <f t="shared" si="23"/>
        <v>0</v>
      </c>
      <c r="T49" s="1">
        <f t="shared" si="23"/>
        <v>1</v>
      </c>
      <c r="U49" s="1">
        <f t="shared" si="23"/>
        <v>1</v>
      </c>
      <c r="V49" s="1">
        <f t="shared" si="23"/>
        <v>1</v>
      </c>
      <c r="W49" s="1">
        <f t="shared" si="23"/>
        <v>1</v>
      </c>
      <c r="X49" s="1">
        <f t="shared" si="23"/>
        <v>1</v>
      </c>
      <c r="Y49" s="1">
        <f t="shared" si="23"/>
        <v>0</v>
      </c>
    </row>
    <row r="50" spans="4:32" x14ac:dyDescent="0.3">
      <c r="D50" s="2"/>
      <c r="E50" t="s">
        <v>37</v>
      </c>
      <c r="F50" s="1"/>
      <c r="G50" s="1" t="str">
        <f>G11</f>
        <v>1</v>
      </c>
      <c r="H50" s="1" t="str">
        <f t="shared" ref="H50:Y50" si="24">H11</f>
        <v>0</v>
      </c>
      <c r="I50" s="1" t="str">
        <f t="shared" si="24"/>
        <v>1</v>
      </c>
      <c r="J50" s="1" t="str">
        <f t="shared" si="24"/>
        <v>1</v>
      </c>
      <c r="K50" s="1" t="str">
        <f t="shared" si="24"/>
        <v>.</v>
      </c>
      <c r="L50" s="1" t="str">
        <f t="shared" si="24"/>
        <v>0</v>
      </c>
      <c r="M50" s="1" t="str">
        <f t="shared" si="24"/>
        <v>1</v>
      </c>
      <c r="N50" s="1" t="str">
        <f t="shared" si="24"/>
        <v>0</v>
      </c>
      <c r="O50" s="1" t="str">
        <f t="shared" si="24"/>
        <v>0</v>
      </c>
      <c r="P50" s="1" t="str">
        <f t="shared" si="24"/>
        <v>.</v>
      </c>
      <c r="Q50" s="1" t="str">
        <f t="shared" si="24"/>
        <v>1</v>
      </c>
      <c r="R50" s="1" t="str">
        <f t="shared" si="24"/>
        <v>1</v>
      </c>
      <c r="S50" s="1" t="str">
        <f t="shared" si="24"/>
        <v>1</v>
      </c>
      <c r="T50" s="1" t="str">
        <f t="shared" si="24"/>
        <v>0</v>
      </c>
      <c r="U50" s="1" t="str">
        <f t="shared" si="24"/>
        <v>.</v>
      </c>
      <c r="V50" s="1" t="str">
        <f t="shared" si="24"/>
        <v>1</v>
      </c>
      <c r="W50" s="1" t="str">
        <f t="shared" si="24"/>
        <v>1</v>
      </c>
      <c r="X50" s="1" t="str">
        <f t="shared" si="24"/>
        <v>1</v>
      </c>
      <c r="Y50" s="1" t="str">
        <f t="shared" si="24"/>
        <v>1</v>
      </c>
      <c r="AD50" t="s">
        <v>9</v>
      </c>
      <c r="AE50">
        <f>C11</f>
        <v>-19217</v>
      </c>
      <c r="AF50" t="s">
        <v>66</v>
      </c>
    </row>
    <row r="51" spans="4:32" x14ac:dyDescent="0.3">
      <c r="D51" s="2" t="s">
        <v>52</v>
      </c>
      <c r="E51" t="s">
        <v>38</v>
      </c>
      <c r="F51" s="1"/>
      <c r="G51" s="1" t="str">
        <f>G12</f>
        <v>1</v>
      </c>
      <c r="H51" s="1" t="str">
        <f t="shared" ref="H51:Y51" si="25">H12</f>
        <v>0</v>
      </c>
      <c r="I51" s="1" t="str">
        <f t="shared" si="25"/>
        <v>0</v>
      </c>
      <c r="J51" s="1" t="str">
        <f t="shared" si="25"/>
        <v>0</v>
      </c>
      <c r="K51" s="1" t="str">
        <f t="shared" si="25"/>
        <v>.</v>
      </c>
      <c r="L51" s="1" t="str">
        <f t="shared" si="25"/>
        <v>1</v>
      </c>
      <c r="M51" s="1" t="str">
        <f t="shared" si="25"/>
        <v>0</v>
      </c>
      <c r="N51" s="1" t="str">
        <f t="shared" si="25"/>
        <v>1</v>
      </c>
      <c r="O51" s="1" t="str">
        <f t="shared" si="25"/>
        <v>0</v>
      </c>
      <c r="P51" s="1" t="str">
        <f t="shared" si="25"/>
        <v>.</v>
      </c>
      <c r="Q51" s="1" t="str">
        <f t="shared" si="25"/>
        <v>0</v>
      </c>
      <c r="R51" s="1" t="str">
        <f t="shared" si="25"/>
        <v>1</v>
      </c>
      <c r="S51" s="1" t="str">
        <f t="shared" si="25"/>
        <v>0</v>
      </c>
      <c r="T51" s="1" t="str">
        <f t="shared" si="25"/>
        <v>0</v>
      </c>
      <c r="U51" s="1" t="str">
        <f t="shared" si="25"/>
        <v>.</v>
      </c>
      <c r="V51" s="1" t="str">
        <f t="shared" si="25"/>
        <v>1</v>
      </c>
      <c r="W51" s="1" t="str">
        <f t="shared" si="25"/>
        <v>0</v>
      </c>
      <c r="X51" s="1" t="str">
        <f t="shared" si="25"/>
        <v>0</v>
      </c>
      <c r="Y51" s="1" t="str">
        <f t="shared" si="25"/>
        <v>1</v>
      </c>
      <c r="AC51" s="2" t="s">
        <v>52</v>
      </c>
      <c r="AD51" t="s">
        <v>10</v>
      </c>
      <c r="AE51">
        <f>C12</f>
        <v>-30135</v>
      </c>
    </row>
    <row r="52" spans="4:32" x14ac:dyDescent="0.3">
      <c r="D52" s="2"/>
      <c r="E52" s="4" t="s">
        <v>53</v>
      </c>
      <c r="F52" s="4" t="s">
        <v>53</v>
      </c>
      <c r="G52" s="6" t="s">
        <v>53</v>
      </c>
      <c r="H52" s="6" t="s">
        <v>53</v>
      </c>
      <c r="I52" s="6" t="s">
        <v>53</v>
      </c>
      <c r="J52" s="6" t="s">
        <v>53</v>
      </c>
      <c r="K52" s="6" t="s">
        <v>53</v>
      </c>
      <c r="L52" s="6" t="s">
        <v>53</v>
      </c>
      <c r="M52" s="6" t="s">
        <v>53</v>
      </c>
      <c r="N52" s="6" t="s">
        <v>53</v>
      </c>
      <c r="O52" s="6" t="s">
        <v>53</v>
      </c>
      <c r="P52" s="6" t="s">
        <v>53</v>
      </c>
      <c r="Q52" s="6" t="s">
        <v>53</v>
      </c>
      <c r="R52" s="6" t="s">
        <v>53</v>
      </c>
      <c r="S52" s="6" t="s">
        <v>53</v>
      </c>
      <c r="T52" s="6" t="s">
        <v>53</v>
      </c>
      <c r="U52" s="6" t="s">
        <v>53</v>
      </c>
      <c r="V52" s="6" t="s">
        <v>53</v>
      </c>
      <c r="W52" s="6" t="s">
        <v>53</v>
      </c>
      <c r="X52" s="6" t="s">
        <v>53</v>
      </c>
      <c r="Y52" s="6" t="s">
        <v>53</v>
      </c>
      <c r="AD52" s="6" t="s">
        <v>53</v>
      </c>
      <c r="AE52" s="6" t="s">
        <v>53</v>
      </c>
    </row>
    <row r="53" spans="4:32" x14ac:dyDescent="0.3">
      <c r="D53" s="2"/>
      <c r="F53" s="1"/>
      <c r="G53" s="1">
        <f t="shared" ref="G53:Y53" si="26">IF(G50 &lt;&gt; ".", MOD(G48+G49+G50, 2), ".")</f>
        <v>1</v>
      </c>
      <c r="H53" s="1">
        <f t="shared" si="26"/>
        <v>0</v>
      </c>
      <c r="I53" s="1">
        <f t="shared" si="26"/>
        <v>1</v>
      </c>
      <c r="J53" s="1">
        <f t="shared" si="26"/>
        <v>1</v>
      </c>
      <c r="K53" s="1" t="str">
        <f t="shared" si="26"/>
        <v>.</v>
      </c>
      <c r="L53" s="1">
        <f t="shared" si="26"/>
        <v>0</v>
      </c>
      <c r="M53" s="1">
        <f t="shared" si="26"/>
        <v>1</v>
      </c>
      <c r="N53" s="1">
        <f t="shared" si="26"/>
        <v>0</v>
      </c>
      <c r="O53" s="1">
        <f t="shared" si="26"/>
        <v>1</v>
      </c>
      <c r="P53" s="1" t="str">
        <f t="shared" si="26"/>
        <v>.</v>
      </c>
      <c r="Q53" s="1">
        <f t="shared" si="26"/>
        <v>0</v>
      </c>
      <c r="R53" s="1">
        <f t="shared" si="26"/>
        <v>1</v>
      </c>
      <c r="S53" s="1">
        <f t="shared" si="26"/>
        <v>1</v>
      </c>
      <c r="T53" s="1">
        <f t="shared" si="26"/>
        <v>1</v>
      </c>
      <c r="U53" s="1" t="str">
        <f t="shared" si="26"/>
        <v>.</v>
      </c>
      <c r="V53" s="1">
        <f t="shared" si="26"/>
        <v>0</v>
      </c>
      <c r="W53" s="1">
        <f t="shared" si="26"/>
        <v>0</v>
      </c>
      <c r="X53" s="1">
        <f t="shared" si="26"/>
        <v>0</v>
      </c>
      <c r="Y53" s="1">
        <f t="shared" si="26"/>
        <v>1</v>
      </c>
      <c r="AA53" t="s">
        <v>16</v>
      </c>
      <c r="AB53" s="8" t="str">
        <f>IF(G53=0,H53*2^14+I53*2^13+J53*2^12+L53*2^11+M53*2^10+N53*2^9+O53*2^8+Q53*2^7+R53*2^6+S53*2^5+T53*2^4+V53*2^3+W53*2^2+X53*2+Y53,"-"&amp;H53*2^14+I53*2^13+J53*2^12+L53*2^11+M53*2^10+N53*2^9+O53*2^8+Q53*2^7+R53*2^6+S53*2^5+T53*2^4+V53*2^3+W53*2^2+X53*2+Y53)</f>
        <v>-13681</v>
      </c>
      <c r="AE53">
        <f>AE50+AE51</f>
        <v>-49352</v>
      </c>
    </row>
    <row r="54" spans="4:32" x14ac:dyDescent="0.3">
      <c r="D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4:32" x14ac:dyDescent="0.3">
      <c r="D55" s="2"/>
      <c r="E55" t="s">
        <v>54</v>
      </c>
      <c r="F55" s="1">
        <f>F49</f>
        <v>1</v>
      </c>
      <c r="G55" s="1"/>
      <c r="H55" s="1" t="s">
        <v>55</v>
      </c>
      <c r="I55" s="1">
        <f>IF(MOD(COUNTIF(Q53:Y53, 1), 2)=0, 1, 0)</f>
        <v>1</v>
      </c>
      <c r="J55" s="1"/>
      <c r="K55" s="5" t="s">
        <v>56</v>
      </c>
      <c r="L55" s="5">
        <f>U49</f>
        <v>1</v>
      </c>
      <c r="M55" s="1"/>
      <c r="N55" s="7" t="s">
        <v>57</v>
      </c>
      <c r="O55" s="7">
        <v>0</v>
      </c>
      <c r="P55" s="1"/>
      <c r="Q55" s="1" t="s">
        <v>58</v>
      </c>
      <c r="R55" s="1">
        <f>G53</f>
        <v>1</v>
      </c>
      <c r="S55" s="1"/>
      <c r="T55" s="7" t="s">
        <v>59</v>
      </c>
      <c r="U55" s="7">
        <f>IF(G50=G51, G49, 0)</f>
        <v>0</v>
      </c>
      <c r="V55" s="1"/>
      <c r="W55" s="1"/>
      <c r="X55" s="1"/>
      <c r="Y55" s="1"/>
    </row>
    <row r="56" spans="4:32" x14ac:dyDescent="0.3">
      <c r="D56" s="2"/>
    </row>
    <row r="57" spans="4:32" x14ac:dyDescent="0.3">
      <c r="D57" s="2"/>
      <c r="F57" s="1">
        <f t="shared" ref="F57:Y57" si="27">IF(G58 &lt;&gt; ".", IF((G57+G58+G59) &gt;= 2, 1, 0), G57)</f>
        <v>0</v>
      </c>
      <c r="G57" s="1">
        <f t="shared" si="27"/>
        <v>0</v>
      </c>
      <c r="H57" s="1">
        <f t="shared" si="27"/>
        <v>1</v>
      </c>
      <c r="I57" s="1">
        <f t="shared" si="27"/>
        <v>0</v>
      </c>
      <c r="J57" s="1">
        <f t="shared" si="27"/>
        <v>0</v>
      </c>
      <c r="K57" s="1">
        <f t="shared" si="27"/>
        <v>0</v>
      </c>
      <c r="L57" s="1">
        <f t="shared" si="27"/>
        <v>0</v>
      </c>
      <c r="M57" s="1">
        <f t="shared" si="27"/>
        <v>0</v>
      </c>
      <c r="N57" s="1">
        <f t="shared" si="27"/>
        <v>0</v>
      </c>
      <c r="O57" s="1">
        <f t="shared" si="27"/>
        <v>1</v>
      </c>
      <c r="P57" s="1">
        <f t="shared" si="27"/>
        <v>1</v>
      </c>
      <c r="Q57" s="1">
        <f t="shared" si="27"/>
        <v>1</v>
      </c>
      <c r="R57" s="1">
        <f t="shared" si="27"/>
        <v>1</v>
      </c>
      <c r="S57" s="1">
        <f t="shared" si="27"/>
        <v>0</v>
      </c>
      <c r="T57" s="1">
        <f t="shared" si="27"/>
        <v>1</v>
      </c>
      <c r="U57" s="1">
        <f t="shared" si="27"/>
        <v>1</v>
      </c>
      <c r="V57" s="1">
        <f t="shared" si="27"/>
        <v>1</v>
      </c>
      <c r="W57" s="1">
        <f t="shared" si="27"/>
        <v>1</v>
      </c>
      <c r="X57" s="1">
        <f t="shared" si="27"/>
        <v>0</v>
      </c>
      <c r="Y57" s="1">
        <f t="shared" si="27"/>
        <v>0</v>
      </c>
    </row>
    <row r="58" spans="4:32" x14ac:dyDescent="0.3">
      <c r="D58" s="2"/>
      <c r="E58" t="s">
        <v>33</v>
      </c>
      <c r="F58" s="1"/>
      <c r="G58" s="1" t="str">
        <f>G4</f>
        <v>0</v>
      </c>
      <c r="H58" s="1" t="str">
        <f t="shared" ref="H58:Y58" si="28">H4</f>
        <v>0</v>
      </c>
      <c r="I58" s="1" t="str">
        <f t="shared" si="28"/>
        <v>1</v>
      </c>
      <c r="J58" s="1" t="str">
        <f t="shared" si="28"/>
        <v>0</v>
      </c>
      <c r="K58" s="1" t="str">
        <f t="shared" si="28"/>
        <v>.</v>
      </c>
      <c r="L58" s="1" t="str">
        <f t="shared" si="28"/>
        <v>1</v>
      </c>
      <c r="M58" s="1" t="str">
        <f t="shared" si="28"/>
        <v>0</v>
      </c>
      <c r="N58" s="1" t="str">
        <f t="shared" si="28"/>
        <v>1</v>
      </c>
      <c r="O58" s="1" t="str">
        <f t="shared" si="28"/>
        <v>0</v>
      </c>
      <c r="P58" s="1" t="str">
        <f t="shared" si="28"/>
        <v>.</v>
      </c>
      <c r="Q58" s="1" t="str">
        <f t="shared" si="28"/>
        <v>1</v>
      </c>
      <c r="R58" s="1" t="str">
        <f t="shared" si="28"/>
        <v>0</v>
      </c>
      <c r="S58" s="1" t="str">
        <f t="shared" si="28"/>
        <v>1</v>
      </c>
      <c r="T58" s="1" t="str">
        <f t="shared" si="28"/>
        <v>0</v>
      </c>
      <c r="U58" s="1" t="str">
        <f t="shared" si="28"/>
        <v>.</v>
      </c>
      <c r="V58" s="1" t="str">
        <f t="shared" si="28"/>
        <v>0</v>
      </c>
      <c r="W58" s="1" t="str">
        <f t="shared" si="28"/>
        <v>1</v>
      </c>
      <c r="X58" s="1" t="str">
        <f t="shared" si="28"/>
        <v>1</v>
      </c>
      <c r="Y58" s="1" t="str">
        <f t="shared" si="28"/>
        <v>0</v>
      </c>
      <c r="AD58" t="s">
        <v>5</v>
      </c>
      <c r="AE58">
        <f>C4</f>
        <v>10918</v>
      </c>
      <c r="AF58" t="s">
        <v>64</v>
      </c>
    </row>
    <row r="59" spans="4:32" x14ac:dyDescent="0.3">
      <c r="D59" s="2" t="s">
        <v>52</v>
      </c>
      <c r="E59" t="s">
        <v>37</v>
      </c>
      <c r="F59" s="1"/>
      <c r="G59" s="1" t="str">
        <f>G11</f>
        <v>1</v>
      </c>
      <c r="H59" s="1" t="str">
        <f t="shared" ref="H59:Y59" si="29">H11</f>
        <v>0</v>
      </c>
      <c r="I59" s="1" t="str">
        <f t="shared" si="29"/>
        <v>1</v>
      </c>
      <c r="J59" s="1" t="str">
        <f t="shared" si="29"/>
        <v>1</v>
      </c>
      <c r="K59" s="1" t="str">
        <f t="shared" si="29"/>
        <v>.</v>
      </c>
      <c r="L59" s="1" t="str">
        <f t="shared" si="29"/>
        <v>0</v>
      </c>
      <c r="M59" s="1" t="str">
        <f t="shared" si="29"/>
        <v>1</v>
      </c>
      <c r="N59" s="1" t="str">
        <f t="shared" si="29"/>
        <v>0</v>
      </c>
      <c r="O59" s="1" t="str">
        <f t="shared" si="29"/>
        <v>0</v>
      </c>
      <c r="P59" s="1" t="str">
        <f t="shared" si="29"/>
        <v>.</v>
      </c>
      <c r="Q59" s="1" t="str">
        <f t="shared" si="29"/>
        <v>1</v>
      </c>
      <c r="R59" s="1" t="str">
        <f t="shared" si="29"/>
        <v>1</v>
      </c>
      <c r="S59" s="1" t="str">
        <f t="shared" si="29"/>
        <v>1</v>
      </c>
      <c r="T59" s="1" t="str">
        <f t="shared" si="29"/>
        <v>0</v>
      </c>
      <c r="U59" s="1" t="str">
        <f t="shared" si="29"/>
        <v>.</v>
      </c>
      <c r="V59" s="1" t="str">
        <f t="shared" si="29"/>
        <v>1</v>
      </c>
      <c r="W59" s="1" t="str">
        <f t="shared" si="29"/>
        <v>1</v>
      </c>
      <c r="X59" s="1" t="str">
        <f t="shared" si="29"/>
        <v>1</v>
      </c>
      <c r="Y59" s="1" t="str">
        <f t="shared" si="29"/>
        <v>1</v>
      </c>
      <c r="AC59" s="2" t="s">
        <v>52</v>
      </c>
      <c r="AD59" t="s">
        <v>9</v>
      </c>
      <c r="AE59">
        <f>C11</f>
        <v>-19217</v>
      </c>
    </row>
    <row r="60" spans="4:32" x14ac:dyDescent="0.3">
      <c r="D60" s="2"/>
      <c r="E60" s="4" t="s">
        <v>53</v>
      </c>
      <c r="F60" s="4" t="s">
        <v>53</v>
      </c>
      <c r="G60" s="6" t="s">
        <v>53</v>
      </c>
      <c r="H60" s="6" t="s">
        <v>53</v>
      </c>
      <c r="I60" s="6" t="s">
        <v>53</v>
      </c>
      <c r="J60" s="6" t="s">
        <v>53</v>
      </c>
      <c r="K60" s="6" t="s">
        <v>53</v>
      </c>
      <c r="L60" s="6" t="s">
        <v>53</v>
      </c>
      <c r="M60" s="6" t="s">
        <v>53</v>
      </c>
      <c r="N60" s="6" t="s">
        <v>53</v>
      </c>
      <c r="O60" s="6" t="s">
        <v>53</v>
      </c>
      <c r="P60" s="6" t="s">
        <v>53</v>
      </c>
      <c r="Q60" s="6" t="s">
        <v>53</v>
      </c>
      <c r="R60" s="6" t="s">
        <v>53</v>
      </c>
      <c r="S60" s="6" t="s">
        <v>53</v>
      </c>
      <c r="T60" s="6" t="s">
        <v>53</v>
      </c>
      <c r="U60" s="6" t="s">
        <v>53</v>
      </c>
      <c r="V60" s="6" t="s">
        <v>53</v>
      </c>
      <c r="W60" s="6" t="s">
        <v>53</v>
      </c>
      <c r="X60" s="6" t="s">
        <v>53</v>
      </c>
      <c r="Y60" s="6" t="s">
        <v>53</v>
      </c>
      <c r="AD60" s="6" t="s">
        <v>53</v>
      </c>
      <c r="AE60" s="6" t="s">
        <v>53</v>
      </c>
    </row>
    <row r="61" spans="4:32" x14ac:dyDescent="0.3">
      <c r="D61" s="2"/>
      <c r="F61" s="1"/>
      <c r="G61" s="1">
        <f t="shared" ref="G61:Y61" si="30">IF(G58 &lt;&gt; ".", MOD(G56+G57+G58, 2), ".")</f>
        <v>0</v>
      </c>
      <c r="H61" s="1">
        <f t="shared" si="30"/>
        <v>1</v>
      </c>
      <c r="I61" s="1">
        <f t="shared" si="30"/>
        <v>1</v>
      </c>
      <c r="J61" s="1">
        <f t="shared" si="30"/>
        <v>0</v>
      </c>
      <c r="K61" s="1" t="str">
        <f t="shared" si="30"/>
        <v>.</v>
      </c>
      <c r="L61" s="1">
        <f t="shared" si="30"/>
        <v>1</v>
      </c>
      <c r="M61" s="1">
        <f t="shared" si="30"/>
        <v>0</v>
      </c>
      <c r="N61" s="1">
        <f t="shared" si="30"/>
        <v>1</v>
      </c>
      <c r="O61" s="1">
        <f t="shared" si="30"/>
        <v>1</v>
      </c>
      <c r="P61" s="1" t="str">
        <f t="shared" si="30"/>
        <v>.</v>
      </c>
      <c r="Q61" s="1">
        <f t="shared" si="30"/>
        <v>0</v>
      </c>
      <c r="R61" s="1">
        <f t="shared" si="30"/>
        <v>1</v>
      </c>
      <c r="S61" s="1">
        <f t="shared" si="30"/>
        <v>1</v>
      </c>
      <c r="T61" s="1">
        <f t="shared" si="30"/>
        <v>1</v>
      </c>
      <c r="U61" s="1" t="str">
        <f t="shared" si="30"/>
        <v>.</v>
      </c>
      <c r="V61" s="1">
        <f t="shared" si="30"/>
        <v>1</v>
      </c>
      <c r="W61" s="1">
        <f t="shared" si="30"/>
        <v>0</v>
      </c>
      <c r="X61" s="1">
        <f t="shared" si="30"/>
        <v>1</v>
      </c>
      <c r="Y61" s="1">
        <f t="shared" si="30"/>
        <v>0</v>
      </c>
      <c r="AA61" t="s">
        <v>16</v>
      </c>
      <c r="AB61" s="8">
        <f>IF(G61=0,H61*2^14+I61*2^13+J61*2^12+L61*2^11+M61*2^10+N61*2^9+O61*2^8+Q61*2^7+R61*2^6+S61*2^5+T61*2^4+V61*2^3+W61*2^2+X61*2+Y61,"-"&amp;H61*2^14+I61*2^13+J61*2^12+L61*2^11+M61*2^10+N61*2^9+O61*2^8+Q61*2^7+R61*2^6+S61*2^5+T61*2^4+V61*2^3+W61*2^2+X61*2+Y61)</f>
        <v>27514</v>
      </c>
      <c r="AE61">
        <f>AE58+AE59</f>
        <v>-8299</v>
      </c>
    </row>
    <row r="62" spans="4:32" x14ac:dyDescent="0.3">
      <c r="D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4:32" x14ac:dyDescent="0.3">
      <c r="D63" s="2"/>
      <c r="E63" t="s">
        <v>54</v>
      </c>
      <c r="F63" s="1">
        <f>F57</f>
        <v>0</v>
      </c>
      <c r="G63" s="1"/>
      <c r="H63" s="1" t="s">
        <v>55</v>
      </c>
      <c r="I63" s="1">
        <f>IF(MOD(COUNTIF(Q61:Y61, 1), 2)=0, 1, 0)</f>
        <v>0</v>
      </c>
      <c r="J63" s="1"/>
      <c r="K63" s="5" t="s">
        <v>56</v>
      </c>
      <c r="L63" s="5">
        <f>U57</f>
        <v>1</v>
      </c>
      <c r="M63" s="1"/>
      <c r="N63" s="7" t="s">
        <v>57</v>
      </c>
      <c r="O63" s="7">
        <v>0</v>
      </c>
      <c r="P63" s="1"/>
      <c r="Q63" s="1" t="s">
        <v>58</v>
      </c>
      <c r="R63" s="1">
        <f>G61</f>
        <v>0</v>
      </c>
      <c r="S63" s="1"/>
      <c r="T63" s="7" t="s">
        <v>59</v>
      </c>
      <c r="U63" s="7">
        <f>IF(G58=G59, G57, 0)</f>
        <v>0</v>
      </c>
      <c r="V63" s="1"/>
      <c r="W63" s="1"/>
      <c r="X63" s="1"/>
      <c r="Y63" s="1"/>
    </row>
    <row r="64" spans="4:32" x14ac:dyDescent="0.3">
      <c r="D64" s="2"/>
    </row>
    <row r="65" spans="1:32" x14ac:dyDescent="0.3">
      <c r="D65" s="2"/>
      <c r="F65" s="1">
        <f t="shared" ref="F65:Y65" si="31">IF(G66 &lt;&gt; ".", IF((G65+G66+G67) &gt;= 2, 1, 0), G65)</f>
        <v>1</v>
      </c>
      <c r="G65" s="1">
        <f t="shared" si="31"/>
        <v>1</v>
      </c>
      <c r="H65" s="1">
        <f t="shared" si="31"/>
        <v>1</v>
      </c>
      <c r="I65" s="1">
        <f t="shared" si="31"/>
        <v>1</v>
      </c>
      <c r="J65" s="1">
        <f t="shared" si="31"/>
        <v>1</v>
      </c>
      <c r="K65" s="1">
        <f t="shared" si="31"/>
        <v>1</v>
      </c>
      <c r="L65" s="1">
        <f t="shared" si="31"/>
        <v>1</v>
      </c>
      <c r="M65" s="1">
        <f t="shared" si="31"/>
        <v>1</v>
      </c>
      <c r="N65" s="1">
        <f t="shared" si="31"/>
        <v>1</v>
      </c>
      <c r="O65" s="1">
        <f t="shared" si="31"/>
        <v>1</v>
      </c>
      <c r="P65" s="1">
        <f t="shared" si="31"/>
        <v>1</v>
      </c>
      <c r="Q65" s="1">
        <f t="shared" si="31"/>
        <v>0</v>
      </c>
      <c r="R65" s="1">
        <f t="shared" si="31"/>
        <v>1</v>
      </c>
      <c r="S65" s="1">
        <f t="shared" si="31"/>
        <v>1</v>
      </c>
      <c r="T65" s="1">
        <f t="shared" si="31"/>
        <v>0</v>
      </c>
      <c r="U65" s="1">
        <f t="shared" si="31"/>
        <v>0</v>
      </c>
      <c r="V65" s="1">
        <f t="shared" si="31"/>
        <v>1</v>
      </c>
      <c r="W65" s="1">
        <f t="shared" si="31"/>
        <v>1</v>
      </c>
      <c r="X65" s="1">
        <f t="shared" si="31"/>
        <v>1</v>
      </c>
      <c r="Y65" s="1">
        <f t="shared" si="31"/>
        <v>0</v>
      </c>
    </row>
    <row r="66" spans="1:32" x14ac:dyDescent="0.3">
      <c r="D66" s="2"/>
      <c r="E66" t="s">
        <v>39</v>
      </c>
      <c r="F66" s="1"/>
      <c r="G66" s="1" t="str">
        <f>G14</f>
        <v>1</v>
      </c>
      <c r="H66" s="1" t="str">
        <f t="shared" ref="H66:Y66" si="32">H14</f>
        <v>1</v>
      </c>
      <c r="I66" s="1" t="str">
        <f t="shared" si="32"/>
        <v>0</v>
      </c>
      <c r="J66" s="1" t="str">
        <f t="shared" si="32"/>
        <v>1</v>
      </c>
      <c r="K66" s="1" t="str">
        <f t="shared" si="32"/>
        <v>.</v>
      </c>
      <c r="L66" s="1" t="str">
        <f t="shared" si="32"/>
        <v>1</v>
      </c>
      <c r="M66" s="1" t="str">
        <f t="shared" si="32"/>
        <v>1</v>
      </c>
      <c r="N66" s="1" t="str">
        <f t="shared" si="32"/>
        <v>1</v>
      </c>
      <c r="O66" s="1" t="str">
        <f t="shared" si="32"/>
        <v>1</v>
      </c>
      <c r="P66" s="1" t="str">
        <f t="shared" si="32"/>
        <v>.</v>
      </c>
      <c r="Q66" s="1" t="str">
        <f t="shared" si="32"/>
        <v>1</v>
      </c>
      <c r="R66" s="1" t="str">
        <f t="shared" si="32"/>
        <v>0</v>
      </c>
      <c r="S66" s="1" t="str">
        <f t="shared" si="32"/>
        <v>0</v>
      </c>
      <c r="T66" s="1" t="str">
        <f t="shared" si="32"/>
        <v>1</v>
      </c>
      <c r="U66" s="1" t="str">
        <f t="shared" si="32"/>
        <v>.</v>
      </c>
      <c r="V66" s="1" t="str">
        <f t="shared" si="32"/>
        <v>0</v>
      </c>
      <c r="W66" s="1" t="str">
        <f t="shared" si="32"/>
        <v>1</v>
      </c>
      <c r="X66" s="1" t="str">
        <f t="shared" si="32"/>
        <v>0</v>
      </c>
      <c r="Y66" s="1" t="str">
        <f t="shared" si="32"/>
        <v>1</v>
      </c>
      <c r="AD66" t="s">
        <v>11</v>
      </c>
      <c r="AE66">
        <f>C14</f>
        <v>-8299</v>
      </c>
      <c r="AF66" t="s">
        <v>64</v>
      </c>
    </row>
    <row r="67" spans="1:32" x14ac:dyDescent="0.3">
      <c r="D67" s="2" t="s">
        <v>52</v>
      </c>
      <c r="E67" t="s">
        <v>35</v>
      </c>
      <c r="F67" s="1"/>
      <c r="G67" s="1" t="str">
        <f>G6</f>
        <v>0</v>
      </c>
      <c r="H67" s="1" t="str">
        <f t="shared" ref="H67:Y67" si="33">H6</f>
        <v>1</v>
      </c>
      <c r="I67" s="1" t="str">
        <f t="shared" si="33"/>
        <v>1</v>
      </c>
      <c r="J67" s="1" t="str">
        <f t="shared" si="33"/>
        <v>1</v>
      </c>
      <c r="K67" s="1" t="str">
        <f t="shared" si="33"/>
        <v>.</v>
      </c>
      <c r="L67" s="1" t="str">
        <f t="shared" si="33"/>
        <v>0</v>
      </c>
      <c r="M67" s="1" t="str">
        <f t="shared" si="33"/>
        <v>1</v>
      </c>
      <c r="N67" s="1" t="str">
        <f t="shared" si="33"/>
        <v>0</v>
      </c>
      <c r="O67" s="1" t="str">
        <f t="shared" si="33"/>
        <v>1</v>
      </c>
      <c r="P67" s="1" t="str">
        <f t="shared" si="33"/>
        <v>.</v>
      </c>
      <c r="Q67" s="1" t="str">
        <f t="shared" si="33"/>
        <v>1</v>
      </c>
      <c r="R67" s="1" t="str">
        <f t="shared" si="33"/>
        <v>0</v>
      </c>
      <c r="S67" s="1" t="str">
        <f t="shared" si="33"/>
        <v>1</v>
      </c>
      <c r="T67" s="1" t="str">
        <f t="shared" si="33"/>
        <v>1</v>
      </c>
      <c r="U67" s="1" t="str">
        <f t="shared" si="33"/>
        <v>.</v>
      </c>
      <c r="V67" s="1" t="str">
        <f t="shared" si="33"/>
        <v>0</v>
      </c>
      <c r="W67" s="1" t="str">
        <f t="shared" si="33"/>
        <v>1</v>
      </c>
      <c r="X67" s="1" t="str">
        <f t="shared" si="33"/>
        <v>1</v>
      </c>
      <c r="Y67" s="1" t="str">
        <f t="shared" si="33"/>
        <v>1</v>
      </c>
      <c r="AC67" s="2" t="s">
        <v>52</v>
      </c>
      <c r="AD67" t="s">
        <v>7</v>
      </c>
      <c r="AE67">
        <f>C6</f>
        <v>30135</v>
      </c>
    </row>
    <row r="68" spans="1:32" x14ac:dyDescent="0.3">
      <c r="E68" s="4" t="s">
        <v>53</v>
      </c>
      <c r="F68" s="4" t="s">
        <v>53</v>
      </c>
      <c r="G68" s="6" t="s">
        <v>53</v>
      </c>
      <c r="H68" s="6" t="s">
        <v>53</v>
      </c>
      <c r="I68" s="6" t="s">
        <v>53</v>
      </c>
      <c r="J68" s="6" t="s">
        <v>53</v>
      </c>
      <c r="K68" s="6" t="s">
        <v>53</v>
      </c>
      <c r="L68" s="6" t="s">
        <v>53</v>
      </c>
      <c r="M68" s="6" t="s">
        <v>53</v>
      </c>
      <c r="N68" s="6" t="s">
        <v>53</v>
      </c>
      <c r="O68" s="6" t="s">
        <v>53</v>
      </c>
      <c r="P68" s="6" t="s">
        <v>53</v>
      </c>
      <c r="Q68" s="6" t="s">
        <v>53</v>
      </c>
      <c r="R68" s="6" t="s">
        <v>53</v>
      </c>
      <c r="S68" s="6" t="s">
        <v>53</v>
      </c>
      <c r="T68" s="6" t="s">
        <v>53</v>
      </c>
      <c r="U68" s="6" t="s">
        <v>53</v>
      </c>
      <c r="V68" s="6" t="s">
        <v>53</v>
      </c>
      <c r="W68" s="6" t="s">
        <v>53</v>
      </c>
      <c r="X68" s="6" t="s">
        <v>53</v>
      </c>
      <c r="Y68" s="6" t="s">
        <v>53</v>
      </c>
      <c r="AD68" s="6" t="s">
        <v>53</v>
      </c>
      <c r="AE68" s="6" t="s">
        <v>53</v>
      </c>
    </row>
    <row r="69" spans="1:32" x14ac:dyDescent="0.3">
      <c r="F69" s="1"/>
      <c r="G69" s="1">
        <f t="shared" ref="G69:Y69" si="34">IF(G66 &lt;&gt; ".", MOD(G64+G65+G66, 2), ".")</f>
        <v>0</v>
      </c>
      <c r="H69" s="1">
        <f t="shared" si="34"/>
        <v>0</v>
      </c>
      <c r="I69" s="1">
        <f t="shared" si="34"/>
        <v>1</v>
      </c>
      <c r="J69" s="1">
        <f t="shared" si="34"/>
        <v>0</v>
      </c>
      <c r="K69" s="1" t="str">
        <f t="shared" si="34"/>
        <v>.</v>
      </c>
      <c r="L69" s="1">
        <f t="shared" si="34"/>
        <v>0</v>
      </c>
      <c r="M69" s="1">
        <f t="shared" si="34"/>
        <v>0</v>
      </c>
      <c r="N69" s="1">
        <f t="shared" si="34"/>
        <v>0</v>
      </c>
      <c r="O69" s="1">
        <f t="shared" si="34"/>
        <v>0</v>
      </c>
      <c r="P69" s="1" t="str">
        <f t="shared" si="34"/>
        <v>.</v>
      </c>
      <c r="Q69" s="1">
        <f t="shared" si="34"/>
        <v>1</v>
      </c>
      <c r="R69" s="1">
        <f t="shared" si="34"/>
        <v>1</v>
      </c>
      <c r="S69" s="1">
        <f t="shared" si="34"/>
        <v>1</v>
      </c>
      <c r="T69" s="1">
        <f t="shared" si="34"/>
        <v>1</v>
      </c>
      <c r="U69" s="1" t="str">
        <f t="shared" si="34"/>
        <v>.</v>
      </c>
      <c r="V69" s="1">
        <f t="shared" si="34"/>
        <v>1</v>
      </c>
      <c r="W69" s="1">
        <f t="shared" si="34"/>
        <v>0</v>
      </c>
      <c r="X69" s="1">
        <f t="shared" si="34"/>
        <v>1</v>
      </c>
      <c r="Y69" s="1">
        <f t="shared" si="34"/>
        <v>1</v>
      </c>
      <c r="AA69" t="s">
        <v>16</v>
      </c>
      <c r="AB69" s="8">
        <f>IF(G69=0,H69*2^14+I69*2^13+J69*2^12+L69*2^11+M69*2^10+N69*2^9+O69*2^8+Q69*2^7+R69*2^6+S69*2^5+T69*2^4+V69*2^3+W69*2^2+X69*2+Y69,"-"&amp;H69*2^14+I69*2^13+J69*2^12+L69*2^11+M69*2^10+N69*2^9+O69*2^8+Q69*2^7+R69*2^6+S69*2^5+T69*2^4+V69*2^3+W69*2^2+X69*2+Y69)</f>
        <v>8443</v>
      </c>
      <c r="AE69">
        <f>AE66+AE67</f>
        <v>21836</v>
      </c>
    </row>
    <row r="71" spans="1:32" x14ac:dyDescent="0.3">
      <c r="E71" t="s">
        <v>54</v>
      </c>
      <c r="F71" s="1">
        <f>F65</f>
        <v>1</v>
      </c>
      <c r="H71" s="1" t="s">
        <v>55</v>
      </c>
      <c r="I71" s="1">
        <f>IF(MOD(COUNTIF(Q69:Y69, 1), 2)=0, 1, 0)</f>
        <v>0</v>
      </c>
      <c r="K71" s="5" t="s">
        <v>56</v>
      </c>
      <c r="L71" s="5">
        <f>U65</f>
        <v>0</v>
      </c>
      <c r="N71" s="7" t="s">
        <v>57</v>
      </c>
      <c r="O71" s="7">
        <v>0</v>
      </c>
      <c r="Q71" s="1" t="s">
        <v>58</v>
      </c>
      <c r="R71" s="1">
        <f>G69</f>
        <v>0</v>
      </c>
      <c r="T71" s="7" t="s">
        <v>59</v>
      </c>
      <c r="U71" s="7">
        <f>IF(G66=G67, G65, 0)</f>
        <v>0</v>
      </c>
    </row>
    <row r="72" spans="1:32" x14ac:dyDescent="0.3">
      <c r="A72" t="s">
        <v>67</v>
      </c>
    </row>
  </sheetData>
  <phoneticPr fontId="1" type="noConversion"/>
  <conditionalFormatting sqref="G4:Y7">
    <cfRule type="cellIs" dxfId="0" priority="3" operator="equal">
      <formula>0</formula>
    </cfRule>
    <cfRule type="cellIs" dxfId="1" priority="2" operator="equal">
      <formula>0</formula>
    </cfRule>
    <cfRule type="cellIs" dxfId="2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H.</dc:creator>
  <cp:lastModifiedBy>DMITRY H.</cp:lastModifiedBy>
  <dcterms:created xsi:type="dcterms:W3CDTF">2025-11-28T09:38:55Z</dcterms:created>
  <dcterms:modified xsi:type="dcterms:W3CDTF">2025-11-28T17:14:30Z</dcterms:modified>
</cp:coreProperties>
</file>